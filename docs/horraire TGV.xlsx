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lemr\Downloads\mulhouse-lutterbach_TGV\docs\"/>
    </mc:Choice>
  </mc:AlternateContent>
  <xr:revisionPtr revIDLastSave="0" documentId="13_ncr:1_{FCC41588-B415-4A85-912F-EA6AC4568356}" xr6:coauthVersionLast="47" xr6:coauthVersionMax="47" xr10:uidLastSave="{00000000-0000-0000-0000-000000000000}"/>
  <bookViews>
    <workbookView xWindow="-110" yWindow="-110" windowWidth="19420" windowHeight="10300" firstSheet="2" activeTab="3" xr2:uid="{003E1B77-6168-4053-B450-BD74E91B1BAE}"/>
  </bookViews>
  <sheets>
    <sheet name="Feuil1" sheetId="1" r:id="rId1"/>
    <sheet name="Horaire TGV" sheetId="2" r:id="rId2"/>
    <sheet name="Fréquentation LGV" sheetId="8" r:id="rId3"/>
    <sheet name="Classement ville GE" sheetId="9" r:id="rId4"/>
    <sheet name="Fréquentation Ligne Kruth" sheetId="3" r:id="rId5"/>
    <sheet name="Fréquentation Ligne Colmar" sheetId="4" r:id="rId6"/>
    <sheet name="Classement fréquentation 68" sheetId="6" r:id="rId7"/>
  </sheets>
  <definedNames>
    <definedName name="_xlnm._FilterDatabase" localSheetId="3" hidden="1">'Classement ville GE'!$M$1:$M$63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6" l="1"/>
  <c r="E63" i="6"/>
  <c r="F63" i="6"/>
  <c r="G63" i="6"/>
  <c r="H63" i="6"/>
  <c r="I63" i="6"/>
  <c r="J63" i="6"/>
  <c r="K63" i="6"/>
  <c r="L63" i="6"/>
  <c r="C63" i="6"/>
  <c r="L62" i="6"/>
  <c r="K62" i="6"/>
  <c r="J62" i="6"/>
  <c r="I62" i="6"/>
  <c r="H62" i="6"/>
  <c r="G62" i="6"/>
  <c r="F62" i="6"/>
  <c r="E62" i="6"/>
  <c r="D62" i="6"/>
  <c r="C62" i="6"/>
  <c r="D12" i="4"/>
  <c r="E12" i="4"/>
  <c r="F12" i="4"/>
  <c r="G12" i="4"/>
  <c r="H12" i="4"/>
  <c r="I12" i="4"/>
  <c r="J12" i="4"/>
  <c r="K12" i="4"/>
  <c r="L12" i="4"/>
  <c r="C12" i="4"/>
  <c r="L11" i="4"/>
  <c r="K11" i="4"/>
  <c r="J11" i="4"/>
  <c r="I11" i="4"/>
  <c r="H11" i="4"/>
  <c r="G11" i="4"/>
  <c r="F11" i="4"/>
  <c r="E11" i="4"/>
  <c r="D11" i="4"/>
  <c r="C11" i="4"/>
  <c r="D23" i="3"/>
  <c r="E23" i="3"/>
  <c r="F23" i="3"/>
  <c r="G23" i="3"/>
  <c r="H23" i="3"/>
  <c r="I23" i="3"/>
  <c r="J23" i="3"/>
  <c r="K23" i="3"/>
  <c r="L23" i="3"/>
  <c r="C23" i="3"/>
  <c r="C22" i="3"/>
  <c r="L22" i="3"/>
  <c r="K22" i="3"/>
  <c r="J22" i="3"/>
  <c r="I22" i="3"/>
  <c r="H22" i="3"/>
  <c r="G22" i="3"/>
  <c r="F22" i="3"/>
  <c r="E22" i="3"/>
  <c r="D22" i="3"/>
  <c r="D7" i="8"/>
  <c r="E7" i="8"/>
  <c r="F7" i="8"/>
  <c r="G7" i="8"/>
  <c r="H7" i="8"/>
  <c r="I7" i="8"/>
  <c r="J7" i="8"/>
  <c r="K7" i="8"/>
  <c r="L7" i="8"/>
  <c r="C7" i="8"/>
  <c r="C6" i="8"/>
  <c r="E6" i="8"/>
  <c r="F6" i="8"/>
  <c r="G6" i="8"/>
  <c r="H6" i="8"/>
  <c r="I6" i="8"/>
  <c r="J6" i="8"/>
  <c r="K6" i="8"/>
  <c r="L6" i="8"/>
  <c r="D6" i="8"/>
  <c r="D5" i="8"/>
  <c r="E5" i="8"/>
  <c r="F5" i="8"/>
  <c r="G5" i="8"/>
  <c r="H5" i="8"/>
  <c r="I5" i="8"/>
  <c r="J5" i="8"/>
  <c r="K5" i="8"/>
  <c r="L5" i="8"/>
  <c r="C5" i="8"/>
  <c r="L61" i="6"/>
  <c r="K61" i="6"/>
  <c r="J61" i="6"/>
  <c r="I61" i="6"/>
  <c r="H61" i="6"/>
  <c r="G61" i="6"/>
  <c r="F61" i="6"/>
  <c r="E61" i="6"/>
  <c r="D61" i="6"/>
  <c r="C61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D10" i="4"/>
  <c r="E10" i="4"/>
  <c r="F10" i="4"/>
  <c r="G10" i="4"/>
  <c r="H10" i="4"/>
  <c r="I10" i="4"/>
  <c r="J10" i="4"/>
  <c r="K10" i="4"/>
  <c r="L10" i="4"/>
  <c r="C10" i="4"/>
  <c r="L21" i="3"/>
  <c r="F21" i="3"/>
  <c r="G21" i="3"/>
  <c r="H21" i="3"/>
  <c r="I21" i="3"/>
  <c r="J21" i="3"/>
  <c r="K21" i="3"/>
  <c r="D21" i="3"/>
  <c r="E21" i="3"/>
  <c r="C2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<sst xmlns="http://schemas.openxmlformats.org/spreadsheetml/2006/main" count="569" uniqueCount="288">
  <si>
    <t>Florirail</t>
  </si>
  <si>
    <t>Guebwiller</t>
  </si>
  <si>
    <t>Soultz</t>
  </si>
  <si>
    <t>Bollwiller</t>
  </si>
  <si>
    <t>Staffelfelden</t>
  </si>
  <si>
    <t>Richwiller</t>
  </si>
  <si>
    <t>Lutterbach</t>
  </si>
  <si>
    <t>Mulhouse</t>
  </si>
  <si>
    <t>Région</t>
  </si>
  <si>
    <t>M2A</t>
  </si>
  <si>
    <t>MAIL ENVOYÉ</t>
  </si>
  <si>
    <t>Wittelsheim</t>
  </si>
  <si>
    <t>réponse plutôt positive et encourageante</t>
  </si>
  <si>
    <t>PROJET TRAIN</t>
  </si>
  <si>
    <t>ALTERNANCE</t>
  </si>
  <si>
    <t>Conseil de l'Europe</t>
  </si>
  <si>
    <t>ARTE</t>
  </si>
  <si>
    <t>Euro-Information</t>
  </si>
  <si>
    <t>Strasbourg Événements</t>
  </si>
  <si>
    <t>Opéra National du Rhin</t>
  </si>
  <si>
    <t>CTS</t>
  </si>
  <si>
    <t>SNCF Réseau</t>
  </si>
  <si>
    <t>Parlement européen</t>
  </si>
  <si>
    <t>SNCF Gares &amp; Connexions</t>
  </si>
  <si>
    <t>Mairie</t>
  </si>
  <si>
    <t>FINALISÉ</t>
  </si>
  <si>
    <t>REFUSÉ</t>
  </si>
  <si>
    <t>ENTRETIENT LE 05/11 AVEC LE MAIRE</t>
  </si>
  <si>
    <t>Colmar</t>
  </si>
  <si>
    <t>TER</t>
  </si>
  <si>
    <t>TGV</t>
  </si>
  <si>
    <t>Strasbourg</t>
  </si>
  <si>
    <t>Selestat</t>
  </si>
  <si>
    <t>Destination</t>
  </si>
  <si>
    <t>Départ</t>
  </si>
  <si>
    <t>(avant projet)</t>
  </si>
  <si>
    <t>(après projet)</t>
  </si>
  <si>
    <t>Arrivée</t>
  </si>
  <si>
    <t>Gain temp</t>
  </si>
  <si>
    <t>Paris Gare de Lyon Hall 1 - 2</t>
  </si>
  <si>
    <t>n° 6700    |    au départ de Mulhouse</t>
  </si>
  <si>
    <t>-10min</t>
  </si>
  <si>
    <t>n° 6702    |    au départ de Mulhouse</t>
  </si>
  <si>
    <t>Montpellier Saint-Roch</t>
  </si>
  <si>
    <t>n° 5521    |    en provenance de Metz</t>
  </si>
  <si>
    <t>-28min</t>
  </si>
  <si>
    <t>n° 9206    |    en provenance de Zuerich HB</t>
  </si>
  <si>
    <t>n° 5512    |    en provenance de Lyon Perrache</t>
  </si>
  <si>
    <t>-26min</t>
  </si>
  <si>
    <t>Marseille Saint-Charles</t>
  </si>
  <si>
    <t>n° 9877    |    en provenance de Luxembourg</t>
  </si>
  <si>
    <t>Zuerich HB</t>
  </si>
  <si>
    <t>n° 9203    |    en provenance de Paris Gare de Lyon Hall 1 - 2</t>
  </si>
  <si>
    <t>Luxembourg</t>
  </si>
  <si>
    <t>n° 9898    |    en provenance de Montpellier Saint-Roch</t>
  </si>
  <si>
    <t>Francfort sur le Main</t>
  </si>
  <si>
    <t>n° 9583    |    en provenance de Marseille Saint-Charles</t>
  </si>
  <si>
    <t>n° 9211    |    en provenance de Paris Gare de Lyon Hall 1 - 2</t>
  </si>
  <si>
    <t>n° 9218    |    en provenance de Zuerich HB</t>
  </si>
  <si>
    <t>n° 9879    |    en provenance de Luxembourg</t>
  </si>
  <si>
    <t>Nice-Ville</t>
  </si>
  <si>
    <t>n° 12177    |    en provenance de Strasbourg</t>
  </si>
  <si>
    <t>n° 5537    |    en provenance de Nancy</t>
  </si>
  <si>
    <t>n° 12176    |    en provenance de Nice-Ville</t>
  </si>
  <si>
    <t>Nancy</t>
  </si>
  <si>
    <t>n° 5516    |    en provenance de Nice-Ville</t>
  </si>
  <si>
    <t>n° 6706    |    au départ de Mulhouse</t>
  </si>
  <si>
    <t>n° 9226    |    en provenance de Zuerich HB</t>
  </si>
  <si>
    <t>n° 9580    |    en provenance de Francfort sur le Main</t>
  </si>
  <si>
    <t>n° 6708    |    au départ de Mulhouse</t>
  </si>
  <si>
    <t>n° 9219    |    en provenance de Paris Gare de Lyon Hall 1 - 2</t>
  </si>
  <si>
    <t>Metz</t>
  </si>
  <si>
    <t>n° 5500    |    en provenance de Montpellier Saint-Roch</t>
  </si>
  <si>
    <t>n° 9234    |    en provenance de Zuerich HB</t>
  </si>
  <si>
    <t>TERMINUS</t>
  </si>
  <si>
    <t>n° 6709    |    en provenance de Paris Gare de Lyon Hall 1 - 2</t>
  </si>
  <si>
    <t>n° 9223    |    en provenance de Paris Gare de Lyon Hall 1 - 2</t>
  </si>
  <si>
    <t>n° 9896    |    en provenance de Marseille Saint-Charles</t>
  </si>
  <si>
    <t>n° 6711    |    en provenance de Paris Gare de Lyon Hall 1 - 2</t>
  </si>
  <si>
    <t>n° 6715    |    en provenance de Paris Gare de Lyon Hall 1 - 2</t>
  </si>
  <si>
    <t>Lutterbach TGV</t>
  </si>
  <si>
    <t>Nom de la gare</t>
  </si>
  <si>
    <t>Thann</t>
  </si>
  <si>
    <t>Thann Centre</t>
  </si>
  <si>
    <t>Vieux-Thann</t>
  </si>
  <si>
    <t>Thann Saint-Jacques</t>
  </si>
  <si>
    <t>Bitschwiller-lès-Thann</t>
  </si>
  <si>
    <t>Vieux-Thann Zone Industrielle</t>
  </si>
  <si>
    <t>Graffenwald</t>
  </si>
  <si>
    <t>Cernay (Haut-Rhin)</t>
  </si>
  <si>
    <t>Willer-sur-Thur</t>
  </si>
  <si>
    <t>Moosch</t>
  </si>
  <si>
    <t>Saint-Amarin</t>
  </si>
  <si>
    <t>Ranspach</t>
  </si>
  <si>
    <t>Wesserling</t>
  </si>
  <si>
    <t>Fellering</t>
  </si>
  <si>
    <t>Oderen</t>
  </si>
  <si>
    <t>Kruth</t>
  </si>
  <si>
    <t>TOTAL</t>
  </si>
  <si>
    <t>Pourcentage de 2015 à A</t>
  </si>
  <si>
    <t>Pourcentage de l'année A-1 à A</t>
  </si>
  <si>
    <t>Mulhouse Dornach</t>
  </si>
  <si>
    <t>Raedersheim</t>
  </si>
  <si>
    <t>Merxheim</t>
  </si>
  <si>
    <t>Rouffach</t>
  </si>
  <si>
    <t>Herrlisheim-près-Colmar</t>
  </si>
  <si>
    <t>Colmar Saint-Joseph</t>
  </si>
  <si>
    <t>Colmar Mésanges</t>
  </si>
  <si>
    <t>Ingersheim - Cité Scolaire</t>
  </si>
  <si>
    <t>Mulhouse Musées</t>
  </si>
  <si>
    <t>Hasenrain</t>
  </si>
  <si>
    <t>Logelbach</t>
  </si>
  <si>
    <t>Walheim</t>
  </si>
  <si>
    <t>Altkirch</t>
  </si>
  <si>
    <t>Munster Badischhof</t>
  </si>
  <si>
    <t>Munster</t>
  </si>
  <si>
    <t>Luttenbach-près-Munster</t>
  </si>
  <si>
    <t>Gunsbach - Griesbach</t>
  </si>
  <si>
    <t>Rixheim</t>
  </si>
  <si>
    <t>Mulhouse Zu Rhein Tram-Train</t>
  </si>
  <si>
    <t>Dannemarie</t>
  </si>
  <si>
    <t>Montreux-Vieux</t>
  </si>
  <si>
    <t>Wihr-au-Val - Soultzbach</t>
  </si>
  <si>
    <t>Walbach</t>
  </si>
  <si>
    <t>Turckheim</t>
  </si>
  <si>
    <t>Saint-Louis La Chaussée</t>
  </si>
  <si>
    <t>Saint-Louis</t>
  </si>
  <si>
    <t>Breitenbach</t>
  </si>
  <si>
    <t>Metzeral</t>
  </si>
  <si>
    <t>Muhlbach-sur-Munster</t>
  </si>
  <si>
    <t>Habsheim</t>
  </si>
  <si>
    <t>Bantzenheim</t>
  </si>
  <si>
    <t>Sierentz</t>
  </si>
  <si>
    <t>Flaxlanden</t>
  </si>
  <si>
    <t>Zillisheim</t>
  </si>
  <si>
    <t>Illfurth</t>
  </si>
  <si>
    <t>Bartenheim</t>
  </si>
  <si>
    <t>Saint-Gilles Lycée Haut-Rhin</t>
  </si>
  <si>
    <t>% de 2024</t>
  </si>
  <si>
    <t>Belfort - Montbéliard TGV</t>
  </si>
  <si>
    <t>Besançon Franche-Comté TGV</t>
  </si>
  <si>
    <t>Strasbourg (296 552 hab.)</t>
  </si>
  <si>
    <t>Reims (180 733 hab.)</t>
  </si>
  <si>
    <t>Metz (124 396 hab.)</t>
  </si>
  <si>
    <t>Mulhouse (106 083 hab.)</t>
  </si>
  <si>
    <t>Nancy (104 988 hab.)</t>
  </si>
  <si>
    <t>Colmar (68 013 hab.)</t>
  </si>
  <si>
    <t>Troyes (63 254 hab.)</t>
  </si>
  <si>
    <t>Charleville-Mézières (46 473 hab.)</t>
  </si>
  <si>
    <t>Châlons-en-Champagne (43 914 hab.)</t>
  </si>
  <si>
    <t>Thionville (43 398 hab.)</t>
  </si>
  <si>
    <t>Haguenau (36 899 hab.)</t>
  </si>
  <si>
    <t>Schiltigheim (34 922 hab.)</t>
  </si>
  <si>
    <t>Épinal (33 395 hab.)</t>
  </si>
  <si>
    <t>Vandœuvre-lès-Nancy (30 204 hab.)</t>
  </si>
  <si>
    <t>Illkirch-Graffenstaden (28 336 hab.)</t>
  </si>
  <si>
    <t>Saint-Dizier (23 281 hab.)</t>
  </si>
  <si>
    <t>Saint-Louis (23 072 hab.)</t>
  </si>
  <si>
    <t>Épernay (22 628 hab.)</t>
  </si>
  <si>
    <t>Montigny-lès-Metz (22 065 hab.)</t>
  </si>
  <si>
    <t>Chaumont (21 889 hab.)</t>
  </si>
  <si>
    <t>Lingolsheim (20 987 hab.)</t>
  </si>
  <si>
    <t>Forbach (20 721 hab.)</t>
  </si>
  <si>
    <t>Sarreguemines (20 549 hab.)</t>
  </si>
  <si>
    <t>Sélestat (19 813 hab.)</t>
  </si>
  <si>
    <t>Saint-Dié-des-Vosges (19 721 hab.)</t>
  </si>
  <si>
    <t>Bischheim (18 797 hab.)</t>
  </si>
  <si>
    <t>Lunéville (18 538 hab.)</t>
  </si>
  <si>
    <t>Yutz (17 680 hab.)</t>
  </si>
  <si>
    <t>Verdun (17 786 hab.)</t>
  </si>
  <si>
    <t>Sedan (17 029 hab.)</t>
  </si>
  <si>
    <t>Hayange (16 000 hab.)</t>
  </si>
  <si>
    <t>Toul (15 955 hab.)</t>
  </si>
  <si>
    <t>Longwy (15 930 hab.)</t>
  </si>
  <si>
    <t>Wittenheim (15 695 hab.)</t>
  </si>
  <si>
    <t>Woippy (15 068 hab.)</t>
  </si>
  <si>
    <t>Romilly-sur-Seine (15 231 hab.)</t>
  </si>
  <si>
    <t>Illzach (15 135 hab.)</t>
  </si>
  <si>
    <t>Fameck (14 939 hab.)</t>
  </si>
  <si>
    <t>Laxou (14 948 hab.)</t>
  </si>
  <si>
    <t>Saint-Avold (15 006 hab.)</t>
  </si>
  <si>
    <t>Villers-lès-Nancy (15 045 hab.)</t>
  </si>
  <si>
    <t>Bar-le-Duc (15 228 hab.)</t>
  </si>
  <si>
    <t>Rixheim (14 656 hab.)</t>
  </si>
  <si>
    <t>Pont-à-Mousson (14 470 hab.)</t>
  </si>
  <si>
    <t>Ostwald (14 077 hab.)</t>
  </si>
  <si>
    <t>Kingersheim (13 495 hab.)</t>
  </si>
  <si>
    <t>Freyming-Merlebach (13 379 hab.)</t>
  </si>
  <si>
    <t>Saint-André-les-Vergers (13 018 hab.)</t>
  </si>
  <si>
    <t>La Chapelle-Saint-Luc (12 730 hab.)</t>
  </si>
  <si>
    <t>Obernai (13 037 hab.)</t>
  </si>
  <si>
    <t>Creutzwald (12 432 hab.)</t>
  </si>
  <si>
    <t>Bischwiller (12 376 hab.)</t>
  </si>
  <si>
    <t>Riedisheim (12 467 hab.)</t>
  </si>
  <si>
    <t>Sarrebourg (12 410 hab.)</t>
  </si>
  <si>
    <t>Cernay (12 219 hab.)</t>
  </si>
  <si>
    <t>Florange (12 153 hab.)</t>
  </si>
  <si>
    <t>Hœnheim (11 822 hab.)</t>
  </si>
  <si>
    <t>Maizières-lès-Metz (11 683 hab.)</t>
  </si>
  <si>
    <t>Saverne (11 718 hab.)</t>
  </si>
  <si>
    <t>Guebwiller (11 503 hab.)</t>
  </si>
  <si>
    <t>OUI</t>
  </si>
  <si>
    <t>NON</t>
  </si>
  <si>
    <t>(Nancy)</t>
  </si>
  <si>
    <t>(Metz)</t>
  </si>
  <si>
    <t>(Hayange)</t>
  </si>
  <si>
    <t>Thionville</t>
  </si>
  <si>
    <t>(Thionville)</t>
  </si>
  <si>
    <t>PRESQUE</t>
  </si>
  <si>
    <t>(Mulhouse)</t>
  </si>
  <si>
    <t>(Troyes)</t>
  </si>
  <si>
    <t>2km</t>
  </si>
  <si>
    <t>1,2km</t>
  </si>
  <si>
    <t>0,5km</t>
  </si>
  <si>
    <t>6,7km</t>
  </si>
  <si>
    <t>0,7km</t>
  </si>
  <si>
    <t>2,7km</t>
  </si>
  <si>
    <t>(Staffelfelden)</t>
  </si>
  <si>
    <t>2,5km</t>
  </si>
  <si>
    <t>7,3km</t>
  </si>
  <si>
    <t>3,6km</t>
  </si>
  <si>
    <t>1,4km</t>
  </si>
  <si>
    <t>1,8km</t>
  </si>
  <si>
    <t>(Jarville-la-Malgrange)</t>
  </si>
  <si>
    <t>(Wittelsheim avec projet)</t>
  </si>
  <si>
    <t>4,5km</t>
  </si>
  <si>
    <t>3,4km</t>
  </si>
  <si>
    <t>(Richwiller avec projet)</t>
  </si>
  <si>
    <t>0,8km</t>
  </si>
  <si>
    <t>6,8km</t>
  </si>
  <si>
    <t>2,4km</t>
  </si>
  <si>
    <t>1km</t>
  </si>
  <si>
    <t>4,1km</t>
  </si>
  <si>
    <t>(Bollwiller)</t>
  </si>
  <si>
    <t xml:space="preserve">Autre gare plus proche </t>
  </si>
  <si>
    <t>Autre gare rapproché avec projet</t>
  </si>
  <si>
    <t>Bar-sur-Aube</t>
  </si>
  <si>
    <t>Commercy</t>
  </si>
  <si>
    <t>Épernay</t>
  </si>
  <si>
    <t>Langres</t>
  </si>
  <si>
    <t>Lunéville</t>
  </si>
  <si>
    <t>Molsheim</t>
  </si>
  <si>
    <t>Neufchâteau</t>
  </si>
  <si>
    <t>Nogent-sur-Seine</t>
  </si>
  <si>
    <t>Reims</t>
  </si>
  <si>
    <t>Rethel</t>
  </si>
  <si>
    <t>Saint-Dié-des-Vosges</t>
  </si>
  <si>
    <t>Saint-Dizier</t>
  </si>
  <si>
    <t>Sarreguemines</t>
  </si>
  <si>
    <t>Saverne</t>
  </si>
  <si>
    <t>Sedan</t>
  </si>
  <si>
    <t>Toul</t>
  </si>
  <si>
    <t>Val de Briey</t>
  </si>
  <si>
    <t>Verdun</t>
  </si>
  <si>
    <t>Vitry-le-François</t>
  </si>
  <si>
    <t>Vouziers</t>
  </si>
  <si>
    <t>Sélestat</t>
  </si>
  <si>
    <t>Erstein</t>
  </si>
  <si>
    <t>Haguenau</t>
  </si>
  <si>
    <t>Wissembourg</t>
  </si>
  <si>
    <t>Forbach</t>
  </si>
  <si>
    <t>Boulay-Moselle</t>
  </si>
  <si>
    <t>Sarrebourg</t>
  </si>
  <si>
    <t>Château-Salins</t>
  </si>
  <si>
    <t>MOINS</t>
  </si>
  <si>
    <t>PLUS</t>
  </si>
  <si>
    <t>gare ?</t>
  </si>
  <si>
    <t>plus/moins habitant Guebwiller</t>
  </si>
  <si>
    <t>-</t>
  </si>
  <si>
    <t>Charleville-Mézières</t>
  </si>
  <si>
    <t xml:space="preserve">Troyes </t>
  </si>
  <si>
    <t xml:space="preserve">Châlons-en-Champagne </t>
  </si>
  <si>
    <t xml:space="preserve">Chaumont </t>
  </si>
  <si>
    <t>Bar-le-Duc</t>
  </si>
  <si>
    <t xml:space="preserve">Strasbourg </t>
  </si>
  <si>
    <t>Épinal</t>
  </si>
  <si>
    <t>sous-préfecture &amp; préfecture Grand-Est</t>
  </si>
  <si>
    <t>Pas de gare mais fait partie d'une agglomération</t>
  </si>
  <si>
    <r>
      <rPr>
        <b/>
        <sz val="11"/>
        <color theme="1"/>
        <rFont val="Aptos Narrow"/>
        <family val="2"/>
        <scheme val="minor"/>
      </rPr>
      <t>source :</t>
    </r>
    <r>
      <rPr>
        <i/>
        <sz val="11"/>
        <color theme="1"/>
        <rFont val="Aptos Narrow"/>
        <family val="2"/>
        <scheme val="minor"/>
      </rPr>
      <t xml:space="preserve"> https://www.linternaute.com/ville/grand-est/region-44/villes</t>
    </r>
  </si>
  <si>
    <t>Situation ferroviaire</t>
  </si>
  <si>
    <t>Nombre de villes</t>
  </si>
  <si>
    <t>Gare dans la ville</t>
  </si>
  <si>
    <t>Pas de gare mais agglomération desservie</t>
  </si>
  <si>
    <t>Aucune gare : Guebwiller</t>
  </si>
  <si>
    <t>Catégorie de ville</t>
  </si>
  <si>
    <t>Plus peuplées, avec gare</t>
  </si>
  <si>
    <t>Moins peuplées, avec gare</t>
  </si>
  <si>
    <t>Moins peuplées, sans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</si>
</sst>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  <numFmt numFmtId="166" formatCode="0.0%"/>
  </numFmts>
  <fonts count="7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4"/>
      <color rgb="FFF5F5F5"/>
      <name val="Raleway"/>
      <family val="2"/>
    </font>
    <font>
      <b/>
      <sz val="11"/>
      <color theme="1"/>
      <name val="Aptos Narrow"/>
      <family val="2"/>
      <scheme val="minor"/>
    </font>
    <font>
      <sz val="8"/>
      <color rgb="FFD0D8E8"/>
      <name val="Raleway"/>
      <family val="2"/>
    </font>
    <font>
      <sz val="8"/>
      <color rgb="FFE65100"/>
      <name val="Raleway"/>
      <family val="2"/>
    </font>
    <font>
      <sz val="16"/>
      <color rgb="FFF5F5F5"/>
      <name val="Raleway"/>
      <family val="2"/>
    </font>
    <font>
      <sz val="16"/>
      <color rgb="FF2E7D32"/>
      <name val="Raleway"/>
      <family val="2"/>
    </font>
    <font>
      <b/>
      <sz val="16"/>
      <color rgb="FF36853A"/>
      <name val="Raleway"/>
      <family val="2"/>
    </font>
    <font>
      <sz val="18"/>
      <color rgb="FFF5F5F5"/>
      <name val="Raleway"/>
      <family val="2"/>
    </font>
    <font>
      <sz val="18"/>
      <color rgb="FFF5F5F5"/>
      <name val="Raleway"/>
      <family val="2"/>
    </font>
    <font>
      <sz val="18"/>
      <color rgb="FF666666"/>
      <name val="Raleway"/>
      <family val="2"/>
    </font>
    <font>
      <sz val="18"/>
      <color rgb="FFE65100"/>
      <name val="Raleway"/>
      <family val="2"/>
    </font>
    <font>
      <sz val="8"/>
      <color rgb="FF666666"/>
      <name val="Raleway"/>
      <family val="2"/>
    </font>
    <font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5F5F5"/>
      <name val="Raleway"/>
      <family val="2"/>
    </font>
    <font>
      <b/>
      <sz val="10"/>
      <color rgb="FF000000"/>
      <name val="Arial"/>
      <family val="2"/>
    </font>
    <font>
      <b/>
      <sz val="9.35"/>
      <color theme="1"/>
      <name val="Arial"/>
      <family val="2"/>
    </font>
    <font>
      <sz val="9.35"/>
      <color theme="1"/>
      <name val="Courier New"/>
      <family val="3"/>
    </font>
    <font>
      <sz val="9.35"/>
      <color theme="1"/>
      <name val="Arial"/>
      <family val="2"/>
    </font>
    <font>
      <sz val="9.35"/>
      <color rgb="FF333333"/>
      <name val="Arial"/>
      <family val="2"/>
    </font>
    <font>
      <sz val="9.35"/>
      <color rgb="FF333333"/>
      <name val="Courier New"/>
      <family val="3"/>
    </font>
    <font>
      <b/>
      <sz val="7"/>
      <color theme="1"/>
      <name val="Arial"/>
      <family val="2"/>
    </font>
    <font>
      <b/>
      <sz val="7"/>
      <color rgb="FF00B050"/>
      <name val="Arial"/>
      <family val="2"/>
    </font>
    <font>
      <b/>
      <sz val="7"/>
      <color rgb="FF4AB538"/>
      <name val="Arial"/>
      <family val="2"/>
    </font>
    <font>
      <b/>
      <sz val="7"/>
      <color rgb="FFC1BD13"/>
      <name val="Arial"/>
      <family val="2"/>
    </font>
    <font>
      <b/>
      <sz val="7"/>
      <color rgb="FFD9BE0C"/>
      <name val="Arial"/>
      <family val="2"/>
    </font>
    <font>
      <b/>
      <sz val="7"/>
      <color rgb="FFDCBE0B"/>
      <name val="Arial"/>
      <family val="2"/>
    </font>
    <font>
      <b/>
      <sz val="7"/>
      <color rgb="FFE2BF09"/>
      <name val="Arial"/>
      <family val="2"/>
    </font>
    <font>
      <b/>
      <sz val="7"/>
      <color rgb="FFE5BF08"/>
      <name val="Arial"/>
      <family val="2"/>
    </font>
    <font>
      <b/>
      <sz val="7"/>
      <color rgb="FFE7BF07"/>
      <name val="Arial"/>
      <family val="2"/>
    </font>
    <font>
      <b/>
      <sz val="7"/>
      <color rgb="FFE9BF07"/>
      <name val="Arial"/>
      <family val="2"/>
    </font>
    <font>
      <b/>
      <sz val="7"/>
      <color rgb="FFEABF06"/>
      <name val="Arial"/>
      <family val="2"/>
    </font>
    <font>
      <b/>
      <sz val="7"/>
      <color rgb="FFECBF06"/>
      <name val="Arial"/>
      <family val="2"/>
    </font>
    <font>
      <b/>
      <sz val="7"/>
      <color rgb="FFEDBF05"/>
      <name val="Arial"/>
      <family val="2"/>
    </font>
    <font>
      <b/>
      <sz val="7"/>
      <color rgb="FFEEBF05"/>
      <name val="Arial"/>
      <family val="2"/>
    </font>
    <font>
      <b/>
      <sz val="7"/>
      <color rgb="FFEFBF05"/>
      <name val="Arial"/>
      <family val="2"/>
    </font>
    <font>
      <b/>
      <sz val="7"/>
      <color rgb="FFF6C002"/>
      <name val="Arial"/>
      <family val="2"/>
    </font>
    <font>
      <b/>
      <sz val="7"/>
      <color rgb="FFF9C001"/>
      <name val="Arial"/>
      <family val="2"/>
    </font>
    <font>
      <b/>
      <sz val="7"/>
      <color rgb="FFFAC001"/>
      <name val="Arial"/>
      <family val="2"/>
    </font>
    <font>
      <b/>
      <sz val="7"/>
      <color rgb="FFFBC001"/>
      <name val="Arial"/>
      <family val="2"/>
    </font>
    <font>
      <b/>
      <sz val="7"/>
      <color rgb="FFFCC000"/>
      <name val="Arial"/>
      <family val="2"/>
    </font>
    <font>
      <b/>
      <sz val="7"/>
      <color rgb="FFFDC000"/>
      <name val="Arial"/>
      <family val="2"/>
    </font>
    <font>
      <b/>
      <sz val="7"/>
      <color rgb="FFFEC000"/>
      <name val="Arial"/>
      <family val="2"/>
    </font>
    <font>
      <b/>
      <sz val="7"/>
      <color rgb="FFFFC000"/>
      <name val="Arial"/>
      <family val="2"/>
    </font>
    <font>
      <b/>
      <sz val="7"/>
      <color rgb="FFFFB700"/>
      <name val="Arial"/>
      <family val="2"/>
    </font>
    <font>
      <b/>
      <sz val="7"/>
      <color rgb="FFFFAB00"/>
      <name val="Arial"/>
      <family val="2"/>
    </font>
    <font>
      <b/>
      <sz val="7"/>
      <color rgb="FFFFAA00"/>
      <name val="Arial"/>
      <family val="2"/>
    </font>
    <font>
      <b/>
      <sz val="7"/>
      <color rgb="FFFF9400"/>
      <name val="Arial"/>
      <family val="2"/>
    </font>
    <font>
      <b/>
      <sz val="7"/>
      <color rgb="FFFF9100"/>
      <name val="Arial"/>
      <family val="2"/>
    </font>
    <font>
      <b/>
      <sz val="7"/>
      <color rgb="FFFF8B00"/>
      <name val="Arial"/>
      <family val="2"/>
    </font>
    <font>
      <b/>
      <sz val="7"/>
      <color rgb="FFFF8500"/>
      <name val="Arial"/>
      <family val="2"/>
    </font>
    <font>
      <b/>
      <sz val="7"/>
      <color rgb="FFFF7C00"/>
      <name val="Arial"/>
      <family val="2"/>
    </font>
    <font>
      <b/>
      <sz val="7"/>
      <color rgb="FFFF7800"/>
      <name val="Arial"/>
      <family val="2"/>
    </font>
    <font>
      <b/>
      <sz val="7"/>
      <color rgb="FFFF7500"/>
      <name val="Arial"/>
      <family val="2"/>
    </font>
    <font>
      <b/>
      <sz val="7"/>
      <color rgb="FFFF6A00"/>
      <name val="Arial"/>
      <family val="2"/>
    </font>
    <font>
      <b/>
      <sz val="7"/>
      <color rgb="FFFF6800"/>
      <name val="Arial"/>
      <family val="2"/>
    </font>
    <font>
      <b/>
      <sz val="7"/>
      <color rgb="FFFF6200"/>
      <name val="Arial"/>
      <family val="2"/>
    </font>
    <font>
      <b/>
      <sz val="7"/>
      <color rgb="FFFF4E00"/>
      <name val="Arial"/>
      <family val="2"/>
    </font>
    <font>
      <b/>
      <sz val="7"/>
      <color rgb="FFFF4800"/>
      <name val="Arial"/>
      <family val="2"/>
    </font>
    <font>
      <b/>
      <sz val="7"/>
      <color rgb="FFFF4300"/>
      <name val="Arial"/>
      <family val="2"/>
    </font>
    <font>
      <b/>
      <sz val="7"/>
      <color rgb="FFFF3300"/>
      <name val="Arial"/>
      <family val="2"/>
    </font>
    <font>
      <b/>
      <sz val="7"/>
      <color rgb="FFFF2C00"/>
      <name val="Arial"/>
      <family val="2"/>
    </font>
    <font>
      <b/>
      <sz val="7"/>
      <color rgb="FFFF1F00"/>
      <name val="Arial"/>
      <family val="2"/>
    </font>
    <font>
      <b/>
      <sz val="7"/>
      <color rgb="FFFF1B00"/>
      <name val="Arial"/>
      <family val="2"/>
    </font>
    <font>
      <b/>
      <sz val="7"/>
      <color rgb="FFFF1000"/>
      <name val="Arial"/>
      <family val="2"/>
    </font>
    <font>
      <b/>
      <sz val="7"/>
      <color rgb="FFFF0F00"/>
      <name val="Arial"/>
      <family val="2"/>
    </font>
    <font>
      <b/>
      <sz val="7"/>
      <color rgb="FFFF0A00"/>
      <name val="Arial"/>
      <family val="2"/>
    </font>
    <font>
      <b/>
      <sz val="7"/>
      <color rgb="FFFF0000"/>
      <name val="Arial"/>
      <family val="2"/>
    </font>
    <font>
      <sz val="7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3A39"/>
        <bgColor indexed="64"/>
      </patternFill>
    </fill>
    <fill>
      <patternFill patternType="solid">
        <fgColor rgb="FF13233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 style="thick">
        <color rgb="FFFF9800"/>
      </left>
      <right/>
      <top/>
      <bottom style="medium">
        <color rgb="FF333333"/>
      </bottom>
      <diagonal/>
    </border>
    <border>
      <left style="thick">
        <color rgb="FFFF9800"/>
      </left>
      <right/>
      <top/>
      <bottom/>
      <diagonal/>
    </border>
    <border>
      <left/>
      <right/>
      <top style="medium">
        <color rgb="FF333333"/>
      </top>
      <bottom/>
      <diagonal/>
    </border>
    <border>
      <left/>
      <right style="thick">
        <color rgb="FFFF9800"/>
      </right>
      <top style="medium">
        <color rgb="FF333333"/>
      </top>
      <bottom/>
      <diagonal/>
    </border>
    <border>
      <left/>
      <right style="thick">
        <color rgb="FFFF9800"/>
      </right>
      <top/>
      <bottom/>
      <diagonal/>
    </border>
    <border>
      <left style="thick">
        <color rgb="FFFF9800"/>
      </left>
      <right/>
      <top style="medium">
        <color rgb="FF333333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3" fontId="0" fillId="0" borderId="0" xfId="0" applyNumberFormat="1"/>
    <xf numFmtId="3" fontId="2" fillId="0" borderId="0" xfId="0" applyNumberFormat="1" applyFont="1"/>
    <xf numFmtId="0" fontId="2" fillId="0" borderId="0" xfId="0" applyFont="1"/>
    <xf numFmtId="10" fontId="0" fillId="0" borderId="0" xfId="1" applyNumberFormat="1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12" fillId="8" borderId="0" xfId="0" applyFont="1" applyFill="1" applyAlignment="1">
      <alignment vertical="center" wrapText="1"/>
    </xf>
    <xf numFmtId="20" fontId="14" fillId="8" borderId="0" xfId="0" applyNumberFormat="1" applyFont="1" applyFill="1" applyAlignment="1">
      <alignment horizontal="center" vertical="center" wrapText="1"/>
    </xf>
    <xf numFmtId="0" fontId="15" fillId="8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20" fontId="14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20" fontId="14" fillId="9" borderId="4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10" borderId="0" xfId="0" applyFont="1" applyFill="1" applyAlignment="1">
      <alignment horizontal="right" vertical="center" wrapText="1"/>
    </xf>
    <xf numFmtId="0" fontId="20" fillId="10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right" vertical="center"/>
    </xf>
    <xf numFmtId="0" fontId="22" fillId="11" borderId="0" xfId="0" applyFont="1" applyFill="1" applyAlignment="1">
      <alignment horizontal="left" vertical="center"/>
    </xf>
    <xf numFmtId="0" fontId="21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left" vertical="center"/>
    </xf>
    <xf numFmtId="0" fontId="0" fillId="11" borderId="0" xfId="0" applyFill="1"/>
    <xf numFmtId="0" fontId="23" fillId="11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12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right" vertical="center"/>
    </xf>
    <xf numFmtId="165" fontId="23" fillId="11" borderId="0" xfId="2" applyNumberFormat="1" applyFont="1" applyFill="1" applyAlignment="1">
      <alignment horizontal="left" vertical="center"/>
    </xf>
    <xf numFmtId="165" fontId="22" fillId="12" borderId="0" xfId="2" applyNumberFormat="1" applyFont="1" applyFill="1" applyAlignment="1">
      <alignment horizontal="left" vertical="center"/>
    </xf>
    <xf numFmtId="165" fontId="22" fillId="11" borderId="0" xfId="2" applyNumberFormat="1" applyFont="1" applyFill="1" applyAlignment="1">
      <alignment horizontal="left" vertical="center"/>
    </xf>
    <xf numFmtId="165" fontId="23" fillId="12" borderId="0" xfId="2" applyNumberFormat="1" applyFont="1" applyFill="1" applyAlignment="1">
      <alignment horizontal="left" vertical="center"/>
    </xf>
    <xf numFmtId="165" fontId="0" fillId="0" borderId="0" xfId="2" applyNumberFormat="1" applyFont="1"/>
    <xf numFmtId="0" fontId="5" fillId="0" borderId="0" xfId="0" applyFont="1"/>
    <xf numFmtId="165" fontId="5" fillId="0" borderId="0" xfId="2" applyNumberFormat="1" applyFont="1"/>
    <xf numFmtId="165" fontId="23" fillId="11" borderId="0" xfId="2" applyNumberFormat="1" applyFont="1" applyFill="1" applyAlignment="1">
      <alignment horizontal="right" vertical="center"/>
    </xf>
    <xf numFmtId="0" fontId="24" fillId="12" borderId="0" xfId="0" applyFont="1" applyFill="1" applyAlignment="1">
      <alignment horizontal="right" vertical="center"/>
    </xf>
    <xf numFmtId="166" fontId="0" fillId="0" borderId="0" xfId="1" applyNumberFormat="1" applyFont="1"/>
    <xf numFmtId="0" fontId="24" fillId="0" borderId="0" xfId="0" applyFont="1" applyAlignment="1">
      <alignment horizontal="right" vertical="center"/>
    </xf>
    <xf numFmtId="10" fontId="26" fillId="11" borderId="0" xfId="1" applyNumberFormat="1" applyFont="1" applyFill="1" applyAlignment="1">
      <alignment horizontal="left"/>
    </xf>
    <xf numFmtId="10" fontId="26" fillId="12" borderId="0" xfId="1" applyNumberFormat="1" applyFont="1" applyFill="1" applyAlignment="1">
      <alignment horizontal="left"/>
    </xf>
    <xf numFmtId="10" fontId="27" fillId="11" borderId="0" xfId="1" applyNumberFormat="1" applyFont="1" applyFill="1" applyAlignment="1">
      <alignment horizontal="left"/>
    </xf>
    <xf numFmtId="10" fontId="28" fillId="12" borderId="0" xfId="1" applyNumberFormat="1" applyFont="1" applyFill="1" applyAlignment="1">
      <alignment horizontal="left"/>
    </xf>
    <xf numFmtId="10" fontId="29" fillId="11" borderId="0" xfId="1" applyNumberFormat="1" applyFont="1" applyFill="1" applyAlignment="1">
      <alignment horizontal="left"/>
    </xf>
    <xf numFmtId="10" fontId="30" fillId="12" borderId="0" xfId="1" applyNumberFormat="1" applyFont="1" applyFill="1" applyAlignment="1">
      <alignment horizontal="left"/>
    </xf>
    <xf numFmtId="10" fontId="31" fillId="11" borderId="0" xfId="1" applyNumberFormat="1" applyFont="1" applyFill="1" applyAlignment="1">
      <alignment horizontal="left"/>
    </xf>
    <xf numFmtId="10" fontId="32" fillId="12" borderId="0" xfId="1" applyNumberFormat="1" applyFont="1" applyFill="1" applyAlignment="1">
      <alignment horizontal="left"/>
    </xf>
    <xf numFmtId="10" fontId="33" fillId="11" borderId="0" xfId="1" applyNumberFormat="1" applyFont="1" applyFill="1" applyAlignment="1">
      <alignment horizontal="left"/>
    </xf>
    <xf numFmtId="10" fontId="34" fillId="12" borderId="0" xfId="1" applyNumberFormat="1" applyFont="1" applyFill="1" applyAlignment="1">
      <alignment horizontal="left"/>
    </xf>
    <xf numFmtId="10" fontId="35" fillId="11" borderId="0" xfId="1" applyNumberFormat="1" applyFont="1" applyFill="1" applyAlignment="1">
      <alignment horizontal="left"/>
    </xf>
    <xf numFmtId="10" fontId="36" fillId="12" borderId="0" xfId="1" applyNumberFormat="1" applyFont="1" applyFill="1" applyAlignment="1">
      <alignment horizontal="left"/>
    </xf>
    <xf numFmtId="10" fontId="37" fillId="11" borderId="0" xfId="1" applyNumberFormat="1" applyFont="1" applyFill="1" applyAlignment="1">
      <alignment horizontal="left"/>
    </xf>
    <xf numFmtId="10" fontId="38" fillId="12" borderId="0" xfId="1" applyNumberFormat="1" applyFont="1" applyFill="1" applyAlignment="1">
      <alignment horizontal="left"/>
    </xf>
    <xf numFmtId="10" fontId="39" fillId="11" borderId="0" xfId="1" applyNumberFormat="1" applyFont="1" applyFill="1" applyAlignment="1">
      <alignment horizontal="left"/>
    </xf>
    <xf numFmtId="10" fontId="40" fillId="12" borderId="0" xfId="1" applyNumberFormat="1" applyFont="1" applyFill="1" applyAlignment="1">
      <alignment horizontal="left"/>
    </xf>
    <xf numFmtId="10" fontId="41" fillId="11" borderId="0" xfId="1" applyNumberFormat="1" applyFont="1" applyFill="1" applyAlignment="1">
      <alignment horizontal="left"/>
    </xf>
    <xf numFmtId="10" fontId="41" fillId="12" borderId="0" xfId="1" applyNumberFormat="1" applyFont="1" applyFill="1" applyAlignment="1">
      <alignment horizontal="left"/>
    </xf>
    <xf numFmtId="10" fontId="42" fillId="11" borderId="0" xfId="1" applyNumberFormat="1" applyFont="1" applyFill="1" applyAlignment="1">
      <alignment horizontal="left"/>
    </xf>
    <xf numFmtId="10" fontId="43" fillId="12" borderId="0" xfId="1" applyNumberFormat="1" applyFont="1" applyFill="1" applyAlignment="1">
      <alignment horizontal="left"/>
    </xf>
    <xf numFmtId="10" fontId="44" fillId="11" borderId="0" xfId="1" applyNumberFormat="1" applyFont="1" applyFill="1" applyAlignment="1">
      <alignment horizontal="left"/>
    </xf>
    <xf numFmtId="10" fontId="45" fillId="12" borderId="0" xfId="1" applyNumberFormat="1" applyFont="1" applyFill="1" applyAlignment="1">
      <alignment horizontal="left"/>
    </xf>
    <xf numFmtId="10" fontId="45" fillId="11" borderId="0" xfId="1" applyNumberFormat="1" applyFont="1" applyFill="1" applyAlignment="1">
      <alignment horizontal="left"/>
    </xf>
    <xf numFmtId="10" fontId="46" fillId="11" borderId="0" xfId="1" applyNumberFormat="1" applyFont="1" applyFill="1" applyAlignment="1">
      <alignment horizontal="left"/>
    </xf>
    <xf numFmtId="10" fontId="46" fillId="12" borderId="0" xfId="1" applyNumberFormat="1" applyFont="1" applyFill="1" applyAlignment="1">
      <alignment horizontal="left"/>
    </xf>
    <xf numFmtId="10" fontId="47" fillId="11" borderId="0" xfId="1" applyNumberFormat="1" applyFont="1" applyFill="1" applyAlignment="1">
      <alignment horizontal="left"/>
    </xf>
    <xf numFmtId="10" fontId="47" fillId="12" borderId="0" xfId="1" applyNumberFormat="1" applyFont="1" applyFill="1" applyAlignment="1">
      <alignment horizontal="left"/>
    </xf>
    <xf numFmtId="10" fontId="48" fillId="11" borderId="0" xfId="1" applyNumberFormat="1" applyFont="1" applyFill="1" applyAlignment="1">
      <alignment horizontal="left"/>
    </xf>
    <xf numFmtId="10" fontId="49" fillId="12" borderId="0" xfId="1" applyNumberFormat="1" applyFont="1" applyFill="1" applyAlignment="1">
      <alignment horizontal="left"/>
    </xf>
    <xf numFmtId="10" fontId="50" fillId="11" borderId="0" xfId="1" applyNumberFormat="1" applyFont="1" applyFill="1" applyAlignment="1">
      <alignment horizontal="left"/>
    </xf>
    <xf numFmtId="10" fontId="51" fillId="12" borderId="0" xfId="1" applyNumberFormat="1" applyFont="1" applyFill="1" applyAlignment="1">
      <alignment horizontal="left"/>
    </xf>
    <xf numFmtId="10" fontId="52" fillId="11" borderId="0" xfId="1" applyNumberFormat="1" applyFont="1" applyFill="1" applyAlignment="1">
      <alignment horizontal="left"/>
    </xf>
    <xf numFmtId="10" fontId="53" fillId="12" borderId="0" xfId="1" applyNumberFormat="1" applyFont="1" applyFill="1" applyAlignment="1">
      <alignment horizontal="left"/>
    </xf>
    <xf numFmtId="10" fontId="54" fillId="11" borderId="0" xfId="1" applyNumberFormat="1" applyFont="1" applyFill="1" applyAlignment="1">
      <alignment horizontal="left"/>
    </xf>
    <xf numFmtId="10" fontId="55" fillId="12" borderId="0" xfId="1" applyNumberFormat="1" applyFont="1" applyFill="1" applyAlignment="1">
      <alignment horizontal="left"/>
    </xf>
    <xf numFmtId="10" fontId="56" fillId="11" borderId="0" xfId="1" applyNumberFormat="1" applyFont="1" applyFill="1" applyAlignment="1">
      <alignment horizontal="left"/>
    </xf>
    <xf numFmtId="10" fontId="57" fillId="12" borderId="0" xfId="1" applyNumberFormat="1" applyFont="1" applyFill="1" applyAlignment="1">
      <alignment horizontal="left"/>
    </xf>
    <xf numFmtId="10" fontId="58" fillId="11" borderId="0" xfId="1" applyNumberFormat="1" applyFont="1" applyFill="1" applyAlignment="1">
      <alignment horizontal="left"/>
    </xf>
    <xf numFmtId="10" fontId="59" fillId="12" borderId="0" xfId="1" applyNumberFormat="1" applyFont="1" applyFill="1" applyAlignment="1">
      <alignment horizontal="left"/>
    </xf>
    <xf numFmtId="10" fontId="60" fillId="11" borderId="0" xfId="1" applyNumberFormat="1" applyFont="1" applyFill="1" applyAlignment="1">
      <alignment horizontal="left"/>
    </xf>
    <xf numFmtId="10" fontId="61" fillId="12" borderId="0" xfId="1" applyNumberFormat="1" applyFont="1" applyFill="1" applyAlignment="1">
      <alignment horizontal="left"/>
    </xf>
    <xf numFmtId="10" fontId="62" fillId="11" borderId="0" xfId="1" applyNumberFormat="1" applyFont="1" applyFill="1" applyAlignment="1">
      <alignment horizontal="left"/>
    </xf>
    <xf numFmtId="10" fontId="63" fillId="12" borderId="0" xfId="1" applyNumberFormat="1" applyFont="1" applyFill="1" applyAlignment="1">
      <alignment horizontal="left"/>
    </xf>
    <xf numFmtId="10" fontId="64" fillId="11" borderId="0" xfId="1" applyNumberFormat="1" applyFont="1" applyFill="1" applyAlignment="1">
      <alignment horizontal="left"/>
    </xf>
    <xf numFmtId="10" fontId="65" fillId="12" borderId="0" xfId="1" applyNumberFormat="1" applyFont="1" applyFill="1" applyAlignment="1">
      <alignment horizontal="left"/>
    </xf>
    <xf numFmtId="10" fontId="66" fillId="11" borderId="0" xfId="1" applyNumberFormat="1" applyFont="1" applyFill="1" applyAlignment="1">
      <alignment horizontal="left"/>
    </xf>
    <xf numFmtId="10" fontId="67" fillId="12" borderId="0" xfId="1" applyNumberFormat="1" applyFont="1" applyFill="1" applyAlignment="1">
      <alignment horizontal="left"/>
    </xf>
    <xf numFmtId="10" fontId="68" fillId="11" borderId="0" xfId="1" applyNumberFormat="1" applyFont="1" applyFill="1" applyAlignment="1">
      <alignment horizontal="left"/>
    </xf>
    <xf numFmtId="10" fontId="69" fillId="12" borderId="0" xfId="1" applyNumberFormat="1" applyFont="1" applyFill="1" applyAlignment="1">
      <alignment horizontal="left"/>
    </xf>
    <xf numFmtId="10" fontId="70" fillId="11" borderId="0" xfId="1" applyNumberFormat="1" applyFont="1" applyFill="1" applyAlignment="1">
      <alignment horizontal="left"/>
    </xf>
    <xf numFmtId="10" fontId="71" fillId="12" borderId="0" xfId="1" applyNumberFormat="1" applyFont="1" applyFill="1" applyAlignment="1">
      <alignment horizontal="left"/>
    </xf>
    <xf numFmtId="10" fontId="71" fillId="11" borderId="0" xfId="1" applyNumberFormat="1" applyFont="1" applyFill="1" applyAlignment="1">
      <alignment horizontal="left"/>
    </xf>
    <xf numFmtId="10" fontId="26" fillId="0" borderId="0" xfId="0" applyNumberFormat="1" applyFont="1" applyAlignment="1">
      <alignment horizontal="left"/>
    </xf>
    <xf numFmtId="10" fontId="25" fillId="10" borderId="0" xfId="0" applyNumberFormat="1" applyFont="1" applyFill="1" applyAlignment="1">
      <alignment horizontal="left"/>
    </xf>
    <xf numFmtId="10" fontId="72" fillId="0" borderId="0" xfId="0" applyNumberFormat="1" applyFont="1"/>
    <xf numFmtId="0" fontId="21" fillId="0" borderId="0" xfId="0" applyFont="1" applyAlignment="1">
      <alignment horizontal="right" vertical="center"/>
    </xf>
    <xf numFmtId="165" fontId="22" fillId="0" borderId="0" xfId="2" applyNumberFormat="1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165" fontId="23" fillId="0" borderId="0" xfId="2" applyNumberFormat="1" applyFont="1" applyFill="1" applyAlignment="1">
      <alignment horizontal="left" vertical="center"/>
    </xf>
    <xf numFmtId="164" fontId="22" fillId="0" borderId="0" xfId="2" applyNumberFormat="1" applyFont="1" applyFill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0" xfId="0" applyFill="1" applyBorder="1" applyAlignment="1">
      <alignment horizontal="right"/>
    </xf>
    <xf numFmtId="0" fontId="0" fillId="2" borderId="11" xfId="0" applyFill="1" applyBorder="1" applyAlignment="1">
      <alignment horizontal="left"/>
    </xf>
    <xf numFmtId="0" fontId="0" fillId="5" borderId="10" xfId="0" applyFill="1" applyBorder="1"/>
    <xf numFmtId="0" fontId="0" fillId="5" borderId="11" xfId="0" applyFill="1" applyBorder="1"/>
    <xf numFmtId="0" fontId="0" fillId="5" borderId="10" xfId="0" applyFill="1" applyBorder="1" applyAlignment="1">
      <alignment horizontal="right"/>
    </xf>
    <xf numFmtId="0" fontId="0" fillId="5" borderId="11" xfId="0" applyFill="1" applyBorder="1" applyAlignment="1">
      <alignment horizontal="left"/>
    </xf>
    <xf numFmtId="0" fontId="0" fillId="3" borderId="10" xfId="0" applyFill="1" applyBorder="1"/>
    <xf numFmtId="0" fontId="0" fillId="3" borderId="11" xfId="0" applyFill="1" applyBorder="1"/>
    <xf numFmtId="0" fontId="0" fillId="3" borderId="10" xfId="0" applyFill="1" applyBorder="1" applyAlignment="1">
      <alignment horizontal="right"/>
    </xf>
    <xf numFmtId="0" fontId="0" fillId="3" borderId="11" xfId="0" applyFill="1" applyBorder="1" applyAlignment="1">
      <alignment horizontal="left"/>
    </xf>
    <xf numFmtId="0" fontId="73" fillId="3" borderId="10" xfId="0" applyFont="1" applyFill="1" applyBorder="1" applyAlignment="1">
      <alignment horizontal="right"/>
    </xf>
    <xf numFmtId="0" fontId="73" fillId="3" borderId="11" xfId="0" applyFont="1" applyFill="1" applyBorder="1" applyAlignment="1">
      <alignment horizontal="left"/>
    </xf>
    <xf numFmtId="0" fontId="0" fillId="13" borderId="12" xfId="0" applyFill="1" applyBorder="1"/>
    <xf numFmtId="0" fontId="0" fillId="13" borderId="13" xfId="0" applyFill="1" applyBorder="1"/>
    <xf numFmtId="0" fontId="0" fillId="13" borderId="12" xfId="0" applyFill="1" applyBorder="1" applyAlignment="1">
      <alignment horizontal="right"/>
    </xf>
    <xf numFmtId="0" fontId="0" fillId="13" borderId="13" xfId="0" applyFill="1" applyBorder="1" applyAlignment="1">
      <alignment horizontal="left"/>
    </xf>
    <xf numFmtId="0" fontId="0" fillId="14" borderId="10" xfId="0" applyFill="1" applyBorder="1"/>
    <xf numFmtId="0" fontId="0" fillId="14" borderId="11" xfId="0" applyFill="1" applyBorder="1"/>
    <xf numFmtId="0" fontId="0" fillId="14" borderId="10" xfId="0" applyFill="1" applyBorder="1" applyAlignment="1">
      <alignment horizontal="right"/>
    </xf>
    <xf numFmtId="0" fontId="0" fillId="14" borderId="11" xfId="0" applyFill="1" applyBorder="1" applyAlignment="1">
      <alignment horizontal="left"/>
    </xf>
    <xf numFmtId="0" fontId="0" fillId="15" borderId="0" xfId="0" applyFill="1"/>
    <xf numFmtId="0" fontId="0" fillId="16" borderId="0" xfId="0" applyFill="1"/>
    <xf numFmtId="0" fontId="0" fillId="14" borderId="0" xfId="0" applyFill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9" fillId="9" borderId="3" xfId="0" applyFont="1" applyFill="1" applyBorder="1" applyAlignment="1">
      <alignment horizontal="center" vertical="center" wrapText="1"/>
    </xf>
    <xf numFmtId="20" fontId="13" fillId="9" borderId="0" xfId="0" applyNumberFormat="1" applyFont="1" applyFill="1" applyAlignment="1">
      <alignment horizontal="center" vertical="center" wrapText="1"/>
    </xf>
    <xf numFmtId="20" fontId="14" fillId="9" borderId="6" xfId="0" applyNumberFormat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20" fontId="13" fillId="8" borderId="0" xfId="0" applyNumberFormat="1" applyFont="1" applyFill="1" applyAlignment="1">
      <alignment horizontal="center" vertical="center" wrapText="1"/>
    </xf>
    <xf numFmtId="20" fontId="14" fillId="8" borderId="0" xfId="0" applyNumberFormat="1" applyFont="1" applyFill="1" applyAlignment="1">
      <alignment horizontal="center" vertical="center" wrapText="1"/>
    </xf>
    <xf numFmtId="20" fontId="14" fillId="8" borderId="6" xfId="0" applyNumberFormat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20" fontId="14" fillId="9" borderId="0" xfId="0" applyNumberFormat="1" applyFont="1" applyFill="1" applyAlignment="1">
      <alignment horizontal="center" vertical="center" wrapText="1"/>
    </xf>
    <xf numFmtId="20" fontId="13" fillId="9" borderId="6" xfId="0" applyNumberFormat="1" applyFont="1" applyFill="1" applyBorder="1" applyAlignment="1">
      <alignment horizontal="center" vertical="center" wrapText="1"/>
    </xf>
    <xf numFmtId="20" fontId="13" fillId="9" borderId="4" xfId="0" applyNumberFormat="1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20" fontId="14" fillId="9" borderId="4" xfId="0" applyNumberFormat="1" applyFont="1" applyFill="1" applyBorder="1" applyAlignment="1">
      <alignment horizontal="center" vertical="center" wrapText="1"/>
    </xf>
    <xf numFmtId="20" fontId="13" fillId="9" borderId="5" xfId="0" applyNumberFormat="1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center" vertical="center" wrapText="1"/>
    </xf>
  </cellXfs>
  <cellStyles count="3">
    <cellStyle name="Milliers" xfId="2" builtinId="3"/>
    <cellStyle name="Normal" xfId="0" builtinId="0"/>
    <cellStyle name="Pourcentage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4F4F4"/>
      <color rgb="FF333333"/>
      <color rgb="FF153A39"/>
      <color rgb="FF132334"/>
      <color rgb="FF006168"/>
      <color rgb="FF047572"/>
      <color rgb="FF0E7F68"/>
      <color rgb="FF189D5E"/>
      <color rgb="FF22C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  <a:tailEnd type="none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Feuil1!$Q$7:$Q$16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Feuil1!$R$7:$R$16</c:f>
              <c:numCache>
                <c:formatCode>#,##0</c:formatCode>
                <c:ptCount val="10"/>
                <c:pt idx="0">
                  <c:v>5017072</c:v>
                </c:pt>
                <c:pt idx="1">
                  <c:v>4946420</c:v>
                </c:pt>
                <c:pt idx="2">
                  <c:v>5055333</c:v>
                </c:pt>
                <c:pt idx="3">
                  <c:v>5174727</c:v>
                </c:pt>
                <c:pt idx="4">
                  <c:v>5320370</c:v>
                </c:pt>
                <c:pt idx="5">
                  <c:v>3408899</c:v>
                </c:pt>
                <c:pt idx="6">
                  <c:v>4074689</c:v>
                </c:pt>
                <c:pt idx="7">
                  <c:v>5056324</c:v>
                </c:pt>
                <c:pt idx="8">
                  <c:v>5637668</c:v>
                </c:pt>
                <c:pt idx="9">
                  <c:v>5702065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3-4C5A-BC4B-96E64261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53135"/>
        <c:axId val="268186735"/>
      </c:scatterChart>
      <c:valAx>
        <c:axId val="254053135"/>
        <c:scaling>
          <c:orientation val="minMax"/>
          <c:max val="2024"/>
          <c:min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8186735"/>
        <c:crosses val="autoZero"/>
        <c:crossBetween val="midCat"/>
      </c:valAx>
      <c:valAx>
        <c:axId val="268186735"/>
        <c:scaling>
          <c:orientation val="minMax"/>
          <c:min val="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405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'Fréquentation LGV'!$B$2</c:f>
              <c:strCache>
                <c:ptCount val="1"/>
                <c:pt idx="0">
                  <c:v>Belfort - Montbéliard TGV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'Fréquentation LGV'!$C$1:$L$1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LGV'!$C$2:$L$2</c:f>
              <c:numCache>
                <c:formatCode>_-* #\ ##0_-;\-* #\ ##0_-;_-* "-"??_-;_-@_-</c:formatCode>
                <c:ptCount val="10"/>
                <c:pt idx="0">
                  <c:v>723873</c:v>
                </c:pt>
                <c:pt idx="1">
                  <c:v>739676</c:v>
                </c:pt>
                <c:pt idx="2">
                  <c:v>791713</c:v>
                </c:pt>
                <c:pt idx="3">
                  <c:v>733608</c:v>
                </c:pt>
                <c:pt idx="4">
                  <c:v>739793</c:v>
                </c:pt>
                <c:pt idx="5">
                  <c:v>360875</c:v>
                </c:pt>
                <c:pt idx="6">
                  <c:v>476167</c:v>
                </c:pt>
                <c:pt idx="7">
                  <c:v>605331</c:v>
                </c:pt>
                <c:pt idx="8">
                  <c:v>668206</c:v>
                </c:pt>
                <c:pt idx="9">
                  <c:v>664494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6-47BC-A01D-30C95C4ED77E}"/>
            </c:ext>
          </c:extLst>
        </c:ser>
        <c:ser>
          <c:idx val="1"/>
          <c:order val="1"/>
          <c:tx>
            <c:strRef>
              <c:f>'Fréquentation LGV'!$B$3</c:f>
              <c:strCache>
                <c:ptCount val="1"/>
                <c:pt idx="0">
                  <c:v>Besançon Franche-Comté TGV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'Fréquentation LGV'!$C$1:$L$1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LGV'!$C$3:$L$3</c:f>
              <c:numCache>
                <c:formatCode>_-* #\ ##0_-;\-* #\ ##0_-;_-* "-"??_-;_-@_-</c:formatCode>
                <c:ptCount val="10"/>
                <c:pt idx="0">
                  <c:v>689453</c:v>
                </c:pt>
                <c:pt idx="1">
                  <c:v>682900</c:v>
                </c:pt>
                <c:pt idx="2">
                  <c:v>712656</c:v>
                </c:pt>
                <c:pt idx="3">
                  <c:v>641643</c:v>
                </c:pt>
                <c:pt idx="4">
                  <c:v>657453</c:v>
                </c:pt>
                <c:pt idx="5">
                  <c:v>349723</c:v>
                </c:pt>
                <c:pt idx="6">
                  <c:v>501306</c:v>
                </c:pt>
                <c:pt idx="7">
                  <c:v>618834</c:v>
                </c:pt>
                <c:pt idx="8">
                  <c:v>739282</c:v>
                </c:pt>
                <c:pt idx="9">
                  <c:v>667419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6-47BC-A01D-30C95C4ED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4000"/>
        <c:axId val="375963344"/>
      </c:areaChart>
      <c:catAx>
        <c:axId val="35026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5963344"/>
        <c:crosses val="autoZero"/>
        <c:auto val="1"/>
        <c:lblAlgn val="ctr"/>
        <c:lblOffset val="100"/>
        <c:noMultiLvlLbl val="0"/>
      </c:catAx>
      <c:valAx>
        <c:axId val="3759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026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villes</a:t>
            </a:r>
          </a:p>
          <a:p>
            <a:pPr>
              <a:defRPr/>
            </a:pPr>
            <a:r>
              <a:rPr lang="en-US" sz="105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Préfecture &amp; sous-préfecture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'Classement ville GE'!$R$42</c:f>
              <c:strCache>
                <c:ptCount val="1"/>
                <c:pt idx="0">
                  <c:v>Nombre de villes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'Classement ville GE'!$Q$43:$Q$45</c:f>
              <c:strCache>
                <c:ptCount val="3"/>
                <c:pt idx="0">
                  <c:v>Moins peuplées, sans gare</c:v>
                </c:pt>
                <c:pt idx="1">
                  <c:v>Moins peuplées, avec gare</c:v>
                </c:pt>
                <c:pt idx="2">
                  <c:v>Plus peuplées, avec gare</c:v>
                </c:pt>
              </c:strCache>
            </c:strRef>
          </c:cat>
          <c:val>
            <c:numRef>
              <c:f>'Classement ville GE'!$R$43:$R$45</c:f>
              <c:numCache>
                <c:formatCode>General</c:formatCode>
                <c:ptCount val="3"/>
                <c:pt idx="0">
                  <c:v>4</c:v>
                </c:pt>
                <c:pt idx="1">
                  <c:v>12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A-4D4C-82D3-21F5CDC993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5649664"/>
        <c:axId val="1745655904"/>
      </c:barChart>
      <c:catAx>
        <c:axId val="174564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5655904"/>
        <c:crosses val="autoZero"/>
        <c:auto val="1"/>
        <c:lblAlgn val="ctr"/>
        <c:lblOffset val="100"/>
        <c:noMultiLvlLbl val="0"/>
      </c:catAx>
      <c:valAx>
        <c:axId val="1745655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564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villes</a:t>
            </a:r>
          </a:p>
          <a:p>
            <a:pPr>
              <a:defRPr/>
            </a:pPr>
            <a:r>
              <a:rPr lang="en-US" sz="105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Les  60 villes les plus peuplé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'Classement ville GE'!$R$12</c:f>
              <c:strCache>
                <c:ptCount val="1"/>
                <c:pt idx="0">
                  <c:v>Nombre de villes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'Classement ville GE'!$Q$13:$Q$15</c:f>
              <c:strCache>
                <c:ptCount val="3"/>
                <c:pt idx="0">
                  <c:v>Aucune gare : Guebwiller</c:v>
                </c:pt>
                <c:pt idx="1">
                  <c:v>Pas de gare mais agglomération desservie</c:v>
                </c:pt>
                <c:pt idx="2">
                  <c:v>Gare dans la ville</c:v>
                </c:pt>
              </c:strCache>
            </c:strRef>
          </c:cat>
          <c:val>
            <c:numRef>
              <c:f>'Classement ville GE'!$R$13:$R$15</c:f>
              <c:numCache>
                <c:formatCode>General</c:formatCode>
                <c:ptCount val="3"/>
                <c:pt idx="0">
                  <c:v>1</c:v>
                </c:pt>
                <c:pt idx="1">
                  <c:v>13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5-4042-A35A-EDD7E27A49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5649664"/>
        <c:axId val="1745655904"/>
      </c:barChart>
      <c:catAx>
        <c:axId val="174564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5655904"/>
        <c:crosses val="autoZero"/>
        <c:auto val="1"/>
        <c:lblAlgn val="ctr"/>
        <c:lblOffset val="100"/>
        <c:noMultiLvlLbl val="0"/>
      </c:catAx>
      <c:valAx>
        <c:axId val="1745655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564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1"/>
          <c:tx>
            <c:strRef>
              <c:f>'Fréquentation Ligne Kruth'!$B$2</c:f>
              <c:strCache>
                <c:ptCount val="1"/>
                <c:pt idx="0">
                  <c:v>Mulhouse Dornach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25400"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Kruth'!$C$2:$L$2</c:f>
              <c:numCache>
                <c:formatCode>_-* #\ ##0_-;\-* #\ ##0_-;_-* "-"??_-;_-@_-</c:formatCode>
                <c:ptCount val="10"/>
                <c:pt idx="0">
                  <c:v>174714</c:v>
                </c:pt>
                <c:pt idx="1">
                  <c:v>167823</c:v>
                </c:pt>
                <c:pt idx="2">
                  <c:v>174344</c:v>
                </c:pt>
                <c:pt idx="3">
                  <c:v>168440</c:v>
                </c:pt>
                <c:pt idx="4">
                  <c:v>183583</c:v>
                </c:pt>
                <c:pt idx="5">
                  <c:v>118983</c:v>
                </c:pt>
                <c:pt idx="6">
                  <c:v>141991</c:v>
                </c:pt>
                <c:pt idx="7">
                  <c:v>186927</c:v>
                </c:pt>
                <c:pt idx="8">
                  <c:v>234086</c:v>
                </c:pt>
                <c:pt idx="9">
                  <c:v>253994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6-4319-9C8A-1AB923CFDDE4}"/>
            </c:ext>
          </c:extLst>
        </c:ser>
        <c:ser>
          <c:idx val="2"/>
          <c:order val="2"/>
          <c:tx>
            <c:strRef>
              <c:f>'Fréquentation Ligne Kruth'!$B$3</c:f>
              <c:strCache>
                <c:ptCount val="1"/>
                <c:pt idx="0">
                  <c:v>Lutterbach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Kruth'!$C$3:$L$3</c:f>
              <c:numCache>
                <c:formatCode>_-* #\ ##0_-;\-* #\ ##0_-;_-* "-"??_-;_-@_-</c:formatCode>
                <c:ptCount val="10"/>
                <c:pt idx="0">
                  <c:v>65370</c:v>
                </c:pt>
                <c:pt idx="1">
                  <c:v>51734</c:v>
                </c:pt>
                <c:pt idx="2">
                  <c:v>47464</c:v>
                </c:pt>
                <c:pt idx="3">
                  <c:v>45475</c:v>
                </c:pt>
                <c:pt idx="4">
                  <c:v>49250</c:v>
                </c:pt>
                <c:pt idx="5">
                  <c:v>39886</c:v>
                </c:pt>
                <c:pt idx="6">
                  <c:v>44604</c:v>
                </c:pt>
                <c:pt idx="7">
                  <c:v>57921</c:v>
                </c:pt>
                <c:pt idx="8">
                  <c:v>71747</c:v>
                </c:pt>
                <c:pt idx="9">
                  <c:v>73987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6-4319-9C8A-1AB923CFDDE4}"/>
            </c:ext>
          </c:extLst>
        </c:ser>
        <c:ser>
          <c:idx val="3"/>
          <c:order val="3"/>
          <c:tx>
            <c:strRef>
              <c:f>'Fréquentation Ligne Kruth'!$B$4</c:f>
              <c:strCache>
                <c:ptCount val="1"/>
                <c:pt idx="0">
                  <c:v>Graffenwald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Kruth'!$C$4:$L$4</c:f>
              <c:numCache>
                <c:formatCode>_-* #\ ##0_-;\-* #\ ##0_-;_-* "-"??_-;_-@_-</c:formatCode>
                <c:ptCount val="10"/>
                <c:pt idx="0">
                  <c:v>79337</c:v>
                </c:pt>
                <c:pt idx="1">
                  <c:v>69576</c:v>
                </c:pt>
                <c:pt idx="2">
                  <c:v>74572</c:v>
                </c:pt>
                <c:pt idx="3">
                  <c:v>78592</c:v>
                </c:pt>
                <c:pt idx="4">
                  <c:v>78248</c:v>
                </c:pt>
                <c:pt idx="5">
                  <c:v>58023</c:v>
                </c:pt>
                <c:pt idx="6">
                  <c:v>60905</c:v>
                </c:pt>
                <c:pt idx="7">
                  <c:v>84897</c:v>
                </c:pt>
                <c:pt idx="8">
                  <c:v>103033</c:v>
                </c:pt>
                <c:pt idx="9">
                  <c:v>103554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66-4319-9C8A-1AB923CFDDE4}"/>
            </c:ext>
          </c:extLst>
        </c:ser>
        <c:ser>
          <c:idx val="4"/>
          <c:order val="4"/>
          <c:tx>
            <c:strRef>
              <c:f>'Fréquentation Ligne Kruth'!$B$5</c:f>
              <c:strCache>
                <c:ptCount val="1"/>
                <c:pt idx="0">
                  <c:v>Cernay (Haut-Rhin)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Kruth'!$C$5:$L$5</c:f>
              <c:numCache>
                <c:formatCode>_-* #\ ##0_-;\-* #\ ##0_-;_-* "-"??_-;_-@_-</c:formatCode>
                <c:ptCount val="10"/>
                <c:pt idx="0">
                  <c:v>419394</c:v>
                </c:pt>
                <c:pt idx="1">
                  <c:v>396767</c:v>
                </c:pt>
                <c:pt idx="2">
                  <c:v>391782</c:v>
                </c:pt>
                <c:pt idx="3">
                  <c:v>372890</c:v>
                </c:pt>
                <c:pt idx="4">
                  <c:v>400877</c:v>
                </c:pt>
                <c:pt idx="5">
                  <c:v>351266</c:v>
                </c:pt>
                <c:pt idx="6">
                  <c:v>364274</c:v>
                </c:pt>
                <c:pt idx="7">
                  <c:v>421687</c:v>
                </c:pt>
                <c:pt idx="8">
                  <c:v>561765</c:v>
                </c:pt>
                <c:pt idx="9">
                  <c:v>605938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66-4319-9C8A-1AB923CFDDE4}"/>
            </c:ext>
          </c:extLst>
        </c:ser>
        <c:ser>
          <c:idx val="5"/>
          <c:order val="5"/>
          <c:tx>
            <c:strRef>
              <c:f>'Fréquentation Ligne Kruth'!$B$6</c:f>
              <c:strCache>
                <c:ptCount val="1"/>
                <c:pt idx="0">
                  <c:v>Vieux-Thann Zone Industrielle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Kruth'!$C$6:$L$6</c:f>
              <c:numCache>
                <c:formatCode>_-* #\ ##0_-;\-* #\ ##0_-;_-* "-"??_-;_-@_-</c:formatCode>
                <c:ptCount val="10"/>
                <c:pt idx="0">
                  <c:v>25872</c:v>
                </c:pt>
                <c:pt idx="1">
                  <c:v>21017</c:v>
                </c:pt>
                <c:pt idx="2">
                  <c:v>20815</c:v>
                </c:pt>
                <c:pt idx="3">
                  <c:v>20228</c:v>
                </c:pt>
                <c:pt idx="4">
                  <c:v>24167</c:v>
                </c:pt>
                <c:pt idx="5">
                  <c:v>18540</c:v>
                </c:pt>
                <c:pt idx="6">
                  <c:v>21483</c:v>
                </c:pt>
                <c:pt idx="7">
                  <c:v>24439</c:v>
                </c:pt>
                <c:pt idx="8">
                  <c:v>26367</c:v>
                </c:pt>
                <c:pt idx="9">
                  <c:v>36878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66-4319-9C8A-1AB923CFDDE4}"/>
            </c:ext>
          </c:extLst>
        </c:ser>
        <c:ser>
          <c:idx val="6"/>
          <c:order val="6"/>
          <c:tx>
            <c:strRef>
              <c:f>'Fréquentation Ligne Kruth'!$B$7</c:f>
              <c:strCache>
                <c:ptCount val="1"/>
                <c:pt idx="0">
                  <c:v>Vieux-Thann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Kruth'!$C$7:$L$7</c:f>
              <c:numCache>
                <c:formatCode>_-* #\ ##0_-;\-* #\ ##0_-;_-* "-"??_-;_-@_-</c:formatCode>
                <c:ptCount val="10"/>
                <c:pt idx="0">
                  <c:v>158063</c:v>
                </c:pt>
                <c:pt idx="1">
                  <c:v>169343</c:v>
                </c:pt>
                <c:pt idx="2">
                  <c:v>169322</c:v>
                </c:pt>
                <c:pt idx="3">
                  <c:v>157296</c:v>
                </c:pt>
                <c:pt idx="4">
                  <c:v>154545</c:v>
                </c:pt>
                <c:pt idx="5">
                  <c:v>141694</c:v>
                </c:pt>
                <c:pt idx="6">
                  <c:v>142906</c:v>
                </c:pt>
                <c:pt idx="7">
                  <c:v>154416</c:v>
                </c:pt>
                <c:pt idx="8">
                  <c:v>206559</c:v>
                </c:pt>
                <c:pt idx="9">
                  <c:v>211345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66-4319-9C8A-1AB923CFDDE4}"/>
            </c:ext>
          </c:extLst>
        </c:ser>
        <c:ser>
          <c:idx val="7"/>
          <c:order val="7"/>
          <c:tx>
            <c:strRef>
              <c:f>'Fréquentation Ligne Kruth'!$B$8</c:f>
              <c:strCache>
                <c:ptCount val="1"/>
                <c:pt idx="0">
                  <c:v>Thann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Kruth'!$C$8:$L$8</c:f>
              <c:numCache>
                <c:formatCode>_-* #\ ##0_-;\-* #\ ##0_-;_-* "-"??_-;_-@_-</c:formatCode>
                <c:ptCount val="10"/>
                <c:pt idx="0">
                  <c:v>170131</c:v>
                </c:pt>
                <c:pt idx="1">
                  <c:v>162257</c:v>
                </c:pt>
                <c:pt idx="2">
                  <c:v>166720</c:v>
                </c:pt>
                <c:pt idx="3">
                  <c:v>163921</c:v>
                </c:pt>
                <c:pt idx="4">
                  <c:v>163382</c:v>
                </c:pt>
                <c:pt idx="5">
                  <c:v>107817</c:v>
                </c:pt>
                <c:pt idx="6">
                  <c:v>123256</c:v>
                </c:pt>
                <c:pt idx="7">
                  <c:v>151899</c:v>
                </c:pt>
                <c:pt idx="8">
                  <c:v>202260</c:v>
                </c:pt>
                <c:pt idx="9">
                  <c:v>217729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66-4319-9C8A-1AB923CFDDE4}"/>
            </c:ext>
          </c:extLst>
        </c:ser>
        <c:ser>
          <c:idx val="8"/>
          <c:order val="8"/>
          <c:tx>
            <c:strRef>
              <c:f>'Fréquentation Ligne Kruth'!$B$9</c:f>
              <c:strCache>
                <c:ptCount val="1"/>
                <c:pt idx="0">
                  <c:v>Thann Centre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Kruth'!$C$9:$L$9</c:f>
              <c:numCache>
                <c:formatCode>_-* #\ ##0_-;\-* #\ ##0_-;_-* "-"??_-;_-@_-</c:formatCode>
                <c:ptCount val="10"/>
                <c:pt idx="0">
                  <c:v>25570</c:v>
                </c:pt>
                <c:pt idx="1">
                  <c:v>24094</c:v>
                </c:pt>
                <c:pt idx="2">
                  <c:v>27435</c:v>
                </c:pt>
                <c:pt idx="3">
                  <c:v>32137</c:v>
                </c:pt>
                <c:pt idx="4">
                  <c:v>44953</c:v>
                </c:pt>
                <c:pt idx="5">
                  <c:v>34474</c:v>
                </c:pt>
                <c:pt idx="6">
                  <c:v>34360</c:v>
                </c:pt>
                <c:pt idx="7">
                  <c:v>44853</c:v>
                </c:pt>
                <c:pt idx="8">
                  <c:v>60669</c:v>
                </c:pt>
                <c:pt idx="9">
                  <c:v>74166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66-4319-9C8A-1AB923CFDDE4}"/>
            </c:ext>
          </c:extLst>
        </c:ser>
        <c:ser>
          <c:idx val="9"/>
          <c:order val="9"/>
          <c:tx>
            <c:strRef>
              <c:f>'Fréquentation Ligne Kruth'!$B$10</c:f>
              <c:strCache>
                <c:ptCount val="1"/>
                <c:pt idx="0">
                  <c:v>Thann Saint-Jacques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Kruth'!$C$10:$L$10</c:f>
              <c:numCache>
                <c:formatCode>_-* #\ ##0_-;\-* #\ ##0_-;_-* "-"??_-;_-@_-</c:formatCode>
                <c:ptCount val="10"/>
                <c:pt idx="0">
                  <c:v>159788</c:v>
                </c:pt>
                <c:pt idx="1">
                  <c:v>156991</c:v>
                </c:pt>
                <c:pt idx="2">
                  <c:v>160859</c:v>
                </c:pt>
                <c:pt idx="3">
                  <c:v>152005</c:v>
                </c:pt>
                <c:pt idx="4">
                  <c:v>153093</c:v>
                </c:pt>
                <c:pt idx="5">
                  <c:v>161347</c:v>
                </c:pt>
                <c:pt idx="6">
                  <c:v>161541</c:v>
                </c:pt>
                <c:pt idx="7">
                  <c:v>165101</c:v>
                </c:pt>
                <c:pt idx="8">
                  <c:v>216223</c:v>
                </c:pt>
                <c:pt idx="9">
                  <c:v>240303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66-4319-9C8A-1AB923CFDDE4}"/>
            </c:ext>
          </c:extLst>
        </c:ser>
        <c:ser>
          <c:idx val="10"/>
          <c:order val="10"/>
          <c:tx>
            <c:strRef>
              <c:f>'Fréquentation Ligne Kruth'!$B$11</c:f>
              <c:strCache>
                <c:ptCount val="1"/>
                <c:pt idx="0">
                  <c:v>Bitschwiller-lès-Thann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Kruth'!$C$11:$L$11</c:f>
              <c:numCache>
                <c:formatCode>_-* #\ ##0_-;\-* #\ ##0_-;_-* "-"??_-;_-@_-</c:formatCode>
                <c:ptCount val="10"/>
                <c:pt idx="0">
                  <c:v>37642</c:v>
                </c:pt>
                <c:pt idx="1">
                  <c:v>33589</c:v>
                </c:pt>
                <c:pt idx="2">
                  <c:v>35640</c:v>
                </c:pt>
                <c:pt idx="3">
                  <c:v>32939</c:v>
                </c:pt>
                <c:pt idx="4">
                  <c:v>36084</c:v>
                </c:pt>
                <c:pt idx="5">
                  <c:v>29187</c:v>
                </c:pt>
                <c:pt idx="6">
                  <c:v>30522</c:v>
                </c:pt>
                <c:pt idx="7">
                  <c:v>34337</c:v>
                </c:pt>
                <c:pt idx="8">
                  <c:v>37735</c:v>
                </c:pt>
                <c:pt idx="9">
                  <c:v>43312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66-4319-9C8A-1AB923CFDDE4}"/>
            </c:ext>
          </c:extLst>
        </c:ser>
        <c:ser>
          <c:idx val="11"/>
          <c:order val="11"/>
          <c:tx>
            <c:strRef>
              <c:f>'Fréquentation Ligne Kruth'!$B$12</c:f>
              <c:strCache>
                <c:ptCount val="1"/>
                <c:pt idx="0">
                  <c:v>Willer-sur-Thur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Kruth'!$C$12:$L$12</c:f>
              <c:numCache>
                <c:formatCode>_-* #\ ##0_-;\-* #\ ##0_-;_-* "-"??_-;_-@_-</c:formatCode>
                <c:ptCount val="10"/>
                <c:pt idx="0">
                  <c:v>38789</c:v>
                </c:pt>
                <c:pt idx="1">
                  <c:v>37509</c:v>
                </c:pt>
                <c:pt idx="2">
                  <c:v>38078</c:v>
                </c:pt>
                <c:pt idx="3">
                  <c:v>32699</c:v>
                </c:pt>
                <c:pt idx="4">
                  <c:v>33144</c:v>
                </c:pt>
                <c:pt idx="5">
                  <c:v>28158</c:v>
                </c:pt>
                <c:pt idx="6">
                  <c:v>28054</c:v>
                </c:pt>
                <c:pt idx="7">
                  <c:v>30849</c:v>
                </c:pt>
                <c:pt idx="8">
                  <c:v>41410</c:v>
                </c:pt>
                <c:pt idx="9">
                  <c:v>50897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966-4319-9C8A-1AB923CFDDE4}"/>
            </c:ext>
          </c:extLst>
        </c:ser>
        <c:ser>
          <c:idx val="12"/>
          <c:order val="12"/>
          <c:tx>
            <c:strRef>
              <c:f>'Fréquentation Ligne Kruth'!$B$13</c:f>
              <c:strCache>
                <c:ptCount val="1"/>
                <c:pt idx="0">
                  <c:v>Moosch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Kruth'!$C$13:$L$13</c:f>
              <c:numCache>
                <c:formatCode>_-* #\ ##0_-;\-* #\ ##0_-;_-* "-"??_-;_-@_-</c:formatCode>
                <c:ptCount val="10"/>
                <c:pt idx="0">
                  <c:v>36129</c:v>
                </c:pt>
                <c:pt idx="1">
                  <c:v>33327</c:v>
                </c:pt>
                <c:pt idx="2">
                  <c:v>38416</c:v>
                </c:pt>
                <c:pt idx="3">
                  <c:v>39646</c:v>
                </c:pt>
                <c:pt idx="4">
                  <c:v>41079</c:v>
                </c:pt>
                <c:pt idx="5">
                  <c:v>34358</c:v>
                </c:pt>
                <c:pt idx="6">
                  <c:v>35531</c:v>
                </c:pt>
                <c:pt idx="7">
                  <c:v>42549</c:v>
                </c:pt>
                <c:pt idx="8">
                  <c:v>51869</c:v>
                </c:pt>
                <c:pt idx="9">
                  <c:v>57155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66-4319-9C8A-1AB923CFDDE4}"/>
            </c:ext>
          </c:extLst>
        </c:ser>
        <c:ser>
          <c:idx val="13"/>
          <c:order val="13"/>
          <c:tx>
            <c:strRef>
              <c:f>'Fréquentation Ligne Kruth'!$B$14</c:f>
              <c:strCache>
                <c:ptCount val="1"/>
                <c:pt idx="0">
                  <c:v>Saint-Amarin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Kruth'!$C$14:$L$14</c:f>
              <c:numCache>
                <c:formatCode>_-* #\ ##0_-;\-* #\ ##0_-;_-* "-"??_-;_-@_-</c:formatCode>
                <c:ptCount val="10"/>
                <c:pt idx="0">
                  <c:v>62487</c:v>
                </c:pt>
                <c:pt idx="1">
                  <c:v>59559</c:v>
                </c:pt>
                <c:pt idx="2">
                  <c:v>63083</c:v>
                </c:pt>
                <c:pt idx="3">
                  <c:v>56337</c:v>
                </c:pt>
                <c:pt idx="4">
                  <c:v>51487</c:v>
                </c:pt>
                <c:pt idx="5">
                  <c:v>42380</c:v>
                </c:pt>
                <c:pt idx="6">
                  <c:v>47636</c:v>
                </c:pt>
                <c:pt idx="7">
                  <c:v>56906</c:v>
                </c:pt>
                <c:pt idx="8">
                  <c:v>72439</c:v>
                </c:pt>
                <c:pt idx="9">
                  <c:v>71351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966-4319-9C8A-1AB923CFDDE4}"/>
            </c:ext>
          </c:extLst>
        </c:ser>
        <c:ser>
          <c:idx val="14"/>
          <c:order val="14"/>
          <c:tx>
            <c:strRef>
              <c:f>'Fréquentation Ligne Kruth'!$B$15</c:f>
              <c:strCache>
                <c:ptCount val="1"/>
                <c:pt idx="0">
                  <c:v>Ranspach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Kruth'!$C$15:$L$15</c:f>
              <c:numCache>
                <c:formatCode>_-* #\ ##0_-;\-* #\ ##0_-;_-* "-"??_-;_-@_-</c:formatCode>
                <c:ptCount val="10"/>
                <c:pt idx="0">
                  <c:v>22381</c:v>
                </c:pt>
                <c:pt idx="1">
                  <c:v>23264</c:v>
                </c:pt>
                <c:pt idx="2">
                  <c:v>22046</c:v>
                </c:pt>
                <c:pt idx="3">
                  <c:v>19487</c:v>
                </c:pt>
                <c:pt idx="4">
                  <c:v>18981</c:v>
                </c:pt>
                <c:pt idx="5">
                  <c:v>18331</c:v>
                </c:pt>
                <c:pt idx="6">
                  <c:v>18831</c:v>
                </c:pt>
                <c:pt idx="7">
                  <c:v>18596</c:v>
                </c:pt>
                <c:pt idx="8">
                  <c:v>18532</c:v>
                </c:pt>
                <c:pt idx="9">
                  <c:v>20080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966-4319-9C8A-1AB923CFDDE4}"/>
            </c:ext>
          </c:extLst>
        </c:ser>
        <c:ser>
          <c:idx val="15"/>
          <c:order val="15"/>
          <c:tx>
            <c:strRef>
              <c:f>'Fréquentation Ligne Kruth'!$B$16</c:f>
              <c:strCache>
                <c:ptCount val="1"/>
                <c:pt idx="0">
                  <c:v>Wesserling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Kruth'!$C$16:$L$16</c:f>
              <c:numCache>
                <c:formatCode>_-* #\ ##0_-;\-* #\ ##0_-;_-* "-"??_-;_-@_-</c:formatCode>
                <c:ptCount val="10"/>
                <c:pt idx="0">
                  <c:v>44627</c:v>
                </c:pt>
                <c:pt idx="1">
                  <c:v>41751</c:v>
                </c:pt>
                <c:pt idx="2">
                  <c:v>42020</c:v>
                </c:pt>
                <c:pt idx="3">
                  <c:v>39150</c:v>
                </c:pt>
                <c:pt idx="4">
                  <c:v>43828</c:v>
                </c:pt>
                <c:pt idx="5">
                  <c:v>30909</c:v>
                </c:pt>
                <c:pt idx="6">
                  <c:v>37173</c:v>
                </c:pt>
                <c:pt idx="7">
                  <c:v>46314</c:v>
                </c:pt>
                <c:pt idx="8">
                  <c:v>51976</c:v>
                </c:pt>
                <c:pt idx="9">
                  <c:v>54426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966-4319-9C8A-1AB923CFDDE4}"/>
            </c:ext>
          </c:extLst>
        </c:ser>
        <c:ser>
          <c:idx val="16"/>
          <c:order val="16"/>
          <c:tx>
            <c:strRef>
              <c:f>'Fréquentation Ligne Kruth'!$B$17</c:f>
              <c:strCache>
                <c:ptCount val="1"/>
                <c:pt idx="0">
                  <c:v>Fellering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Kruth'!$C$17:$L$17</c:f>
              <c:numCache>
                <c:formatCode>_-* #\ ##0_-;\-* #\ ##0_-;_-* "-"??_-;_-@_-</c:formatCode>
                <c:ptCount val="10"/>
                <c:pt idx="0">
                  <c:v>27050</c:v>
                </c:pt>
                <c:pt idx="1">
                  <c:v>29281</c:v>
                </c:pt>
                <c:pt idx="2">
                  <c:v>26713</c:v>
                </c:pt>
                <c:pt idx="3">
                  <c:v>24528</c:v>
                </c:pt>
                <c:pt idx="4">
                  <c:v>25221</c:v>
                </c:pt>
                <c:pt idx="5">
                  <c:v>23468</c:v>
                </c:pt>
                <c:pt idx="6">
                  <c:v>22995</c:v>
                </c:pt>
                <c:pt idx="7">
                  <c:v>19737</c:v>
                </c:pt>
                <c:pt idx="8">
                  <c:v>27219</c:v>
                </c:pt>
                <c:pt idx="9">
                  <c:v>29170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966-4319-9C8A-1AB923CFDDE4}"/>
            </c:ext>
          </c:extLst>
        </c:ser>
        <c:ser>
          <c:idx val="17"/>
          <c:order val="17"/>
          <c:tx>
            <c:strRef>
              <c:f>'Fréquentation Ligne Kruth'!$B$18</c:f>
              <c:strCache>
                <c:ptCount val="1"/>
                <c:pt idx="0">
                  <c:v>Oderen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Kruth'!$C$18:$L$18</c:f>
              <c:numCache>
                <c:formatCode>_-* #\ ##0_-;\-* #\ ##0_-;_-* "-"??_-;_-@_-</c:formatCode>
                <c:ptCount val="10"/>
                <c:pt idx="0">
                  <c:v>26341</c:v>
                </c:pt>
                <c:pt idx="1">
                  <c:v>26481</c:v>
                </c:pt>
                <c:pt idx="2">
                  <c:v>26678</c:v>
                </c:pt>
                <c:pt idx="3">
                  <c:v>20875</c:v>
                </c:pt>
                <c:pt idx="4">
                  <c:v>20299</c:v>
                </c:pt>
                <c:pt idx="5">
                  <c:v>16780</c:v>
                </c:pt>
                <c:pt idx="6">
                  <c:v>18495</c:v>
                </c:pt>
                <c:pt idx="7">
                  <c:v>23064</c:v>
                </c:pt>
                <c:pt idx="8">
                  <c:v>29665</c:v>
                </c:pt>
                <c:pt idx="9">
                  <c:v>31108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966-4319-9C8A-1AB923CFDDE4}"/>
            </c:ext>
          </c:extLst>
        </c:ser>
        <c:ser>
          <c:idx val="18"/>
          <c:order val="18"/>
          <c:tx>
            <c:strRef>
              <c:f>'Fréquentation Ligne Kruth'!$B$19</c:f>
              <c:strCache>
                <c:ptCount val="1"/>
                <c:pt idx="0">
                  <c:v>Kruth</c:v>
                </c:pt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val>
            <c:numRef>
              <c:f>'Fréquentation Ligne Kruth'!$C$19:$L$19</c:f>
              <c:numCache>
                <c:formatCode>_-* #\ ##0_-;\-* #\ ##0_-;_-* "-"??_-;_-@_-</c:formatCode>
                <c:ptCount val="10"/>
                <c:pt idx="0">
                  <c:v>25185</c:v>
                </c:pt>
                <c:pt idx="1">
                  <c:v>25601</c:v>
                </c:pt>
                <c:pt idx="2">
                  <c:v>25830</c:v>
                </c:pt>
                <c:pt idx="3">
                  <c:v>24164</c:v>
                </c:pt>
                <c:pt idx="4">
                  <c:v>26336</c:v>
                </c:pt>
                <c:pt idx="5">
                  <c:v>18542</c:v>
                </c:pt>
                <c:pt idx="6">
                  <c:v>20013</c:v>
                </c:pt>
                <c:pt idx="7">
                  <c:v>25710</c:v>
                </c:pt>
                <c:pt idx="8">
                  <c:v>32742</c:v>
                </c:pt>
                <c:pt idx="9">
                  <c:v>35800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966-4319-9C8A-1AB923CFD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4064"/>
        <c:axId val="1823832880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'Fréquentation Ligne Kruth'!$B$1</c15:sqref>
                        </c15:formulaRef>
                      </c:ext>
                    </c:extLst>
                    <c:strCache>
                      <c:ptCount val="1"/>
                      <c:pt idx="0">
                        <c:v>Nom de la gare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25400">
                    <a:noFill/>
                  </a:ln>
                  <a:effectLst>
                    <a:innerShdw dist="12700" dir="16200000">
                      <a:schemeClr val="lt1"/>
                    </a:inn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'Fréquentation Ligne Kruth'!$C$1:$L$1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966-4319-9C8A-1AB923CFDDE4}"/>
                  </c:ext>
                </c:extLst>
              </c15:ser>
            </c15:filteredAreaSeries>
          </c:ext>
        </c:extLst>
      </c:areaChart>
      <c:catAx>
        <c:axId val="20020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3832880"/>
        <c:crosses val="autoZero"/>
        <c:auto val="1"/>
        <c:lblAlgn val="ctr"/>
        <c:lblOffset val="100"/>
        <c:noMultiLvlLbl val="0"/>
      </c:catAx>
      <c:valAx>
        <c:axId val="1823832880"/>
        <c:scaling>
          <c:orientation val="minMax"/>
          <c:max val="250000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0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'Fréquentation Ligne Colmar'!$B$2</c:f>
              <c:strCache>
                <c:ptCount val="1"/>
                <c:pt idx="0">
                  <c:v>Mulhouse Dornach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Colmar'!$C$2:$L$2</c:f>
              <c:numCache>
                <c:formatCode>_-* #\ ##0_-;\-* #\ ##0_-;_-* "-"??_-;_-@_-</c:formatCode>
                <c:ptCount val="10"/>
                <c:pt idx="0">
                  <c:v>174714</c:v>
                </c:pt>
                <c:pt idx="1">
                  <c:v>167823</c:v>
                </c:pt>
                <c:pt idx="2">
                  <c:v>174344</c:v>
                </c:pt>
                <c:pt idx="3">
                  <c:v>168440</c:v>
                </c:pt>
                <c:pt idx="4">
                  <c:v>183583</c:v>
                </c:pt>
                <c:pt idx="5">
                  <c:v>118983</c:v>
                </c:pt>
                <c:pt idx="6">
                  <c:v>141991</c:v>
                </c:pt>
                <c:pt idx="7">
                  <c:v>186927</c:v>
                </c:pt>
                <c:pt idx="8">
                  <c:v>234086</c:v>
                </c:pt>
                <c:pt idx="9">
                  <c:v>253994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1-447F-81BB-05F95BBF7400}"/>
            </c:ext>
          </c:extLst>
        </c:ser>
        <c:ser>
          <c:idx val="1"/>
          <c:order val="1"/>
          <c:tx>
            <c:strRef>
              <c:f>'Fréquentation Ligne Colmar'!$B$3</c:f>
              <c:strCache>
                <c:ptCount val="1"/>
                <c:pt idx="0">
                  <c:v>Staffelfelden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Colmar'!$C$3:$L$3</c:f>
              <c:numCache>
                <c:formatCode>_-* #\ ##0_-;\-* #\ ##0_-;_-* "-"??_-;_-@_-</c:formatCode>
                <c:ptCount val="10"/>
                <c:pt idx="0">
                  <c:v>67839</c:v>
                </c:pt>
                <c:pt idx="1">
                  <c:v>64665</c:v>
                </c:pt>
                <c:pt idx="2">
                  <c:v>68285</c:v>
                </c:pt>
                <c:pt idx="3">
                  <c:v>68939</c:v>
                </c:pt>
                <c:pt idx="4">
                  <c:v>68825</c:v>
                </c:pt>
                <c:pt idx="5">
                  <c:v>50329</c:v>
                </c:pt>
                <c:pt idx="6">
                  <c:v>51329</c:v>
                </c:pt>
                <c:pt idx="7">
                  <c:v>65893</c:v>
                </c:pt>
                <c:pt idx="8">
                  <c:v>86402</c:v>
                </c:pt>
                <c:pt idx="9">
                  <c:v>94806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1-447F-81BB-05F95BBF7400}"/>
            </c:ext>
          </c:extLst>
        </c:ser>
        <c:ser>
          <c:idx val="2"/>
          <c:order val="2"/>
          <c:tx>
            <c:strRef>
              <c:f>'Fréquentation Ligne Colmar'!$B$4</c:f>
              <c:strCache>
                <c:ptCount val="1"/>
                <c:pt idx="0">
                  <c:v>Bollwiller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Colmar'!$C$4:$L$4</c:f>
              <c:numCache>
                <c:formatCode>_-* #\ ##0_-;\-* #\ ##0_-;_-* "-"??_-;_-@_-</c:formatCode>
                <c:ptCount val="10"/>
                <c:pt idx="0">
                  <c:v>258783</c:v>
                </c:pt>
                <c:pt idx="1">
                  <c:v>257549</c:v>
                </c:pt>
                <c:pt idx="2">
                  <c:v>260987</c:v>
                </c:pt>
                <c:pt idx="3">
                  <c:v>259569</c:v>
                </c:pt>
                <c:pt idx="4">
                  <c:v>298568</c:v>
                </c:pt>
                <c:pt idx="5">
                  <c:v>204231</c:v>
                </c:pt>
                <c:pt idx="6">
                  <c:v>232620</c:v>
                </c:pt>
                <c:pt idx="7">
                  <c:v>303384</c:v>
                </c:pt>
                <c:pt idx="8">
                  <c:v>367349</c:v>
                </c:pt>
                <c:pt idx="9">
                  <c:v>396239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1-447F-81BB-05F95BBF7400}"/>
            </c:ext>
          </c:extLst>
        </c:ser>
        <c:ser>
          <c:idx val="3"/>
          <c:order val="3"/>
          <c:tx>
            <c:strRef>
              <c:f>'Fréquentation Ligne Colmar'!$B$5</c:f>
              <c:strCache>
                <c:ptCount val="1"/>
                <c:pt idx="0">
                  <c:v>Raedersheim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Colmar'!$C$5:$L$5</c:f>
              <c:numCache>
                <c:formatCode>_-* #\ ##0_-;\-* #\ ##0_-;_-* "-"??_-;_-@_-</c:formatCode>
                <c:ptCount val="10"/>
                <c:pt idx="0">
                  <c:v>43876</c:v>
                </c:pt>
                <c:pt idx="1">
                  <c:v>45192</c:v>
                </c:pt>
                <c:pt idx="2">
                  <c:v>48062</c:v>
                </c:pt>
                <c:pt idx="3">
                  <c:v>46533</c:v>
                </c:pt>
                <c:pt idx="4">
                  <c:v>52673</c:v>
                </c:pt>
                <c:pt idx="5">
                  <c:v>34582</c:v>
                </c:pt>
                <c:pt idx="6">
                  <c:v>41128</c:v>
                </c:pt>
                <c:pt idx="7">
                  <c:v>52212</c:v>
                </c:pt>
                <c:pt idx="8">
                  <c:v>62329</c:v>
                </c:pt>
                <c:pt idx="9">
                  <c:v>65357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71-447F-81BB-05F95BBF7400}"/>
            </c:ext>
          </c:extLst>
        </c:ser>
        <c:ser>
          <c:idx val="4"/>
          <c:order val="4"/>
          <c:tx>
            <c:strRef>
              <c:f>'Fréquentation Ligne Colmar'!$B$6</c:f>
              <c:strCache>
                <c:ptCount val="1"/>
                <c:pt idx="0">
                  <c:v>Merxheim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Colmar'!$C$6:$L$6</c:f>
              <c:numCache>
                <c:formatCode>_-* #\ ##0_-;\-* #\ ##0_-;_-* "-"??_-;_-@_-</c:formatCode>
                <c:ptCount val="10"/>
                <c:pt idx="0">
                  <c:v>49348</c:v>
                </c:pt>
                <c:pt idx="1">
                  <c:v>48339</c:v>
                </c:pt>
                <c:pt idx="2">
                  <c:v>51771</c:v>
                </c:pt>
                <c:pt idx="3">
                  <c:v>53512</c:v>
                </c:pt>
                <c:pt idx="4">
                  <c:v>56389</c:v>
                </c:pt>
                <c:pt idx="5">
                  <c:v>41381</c:v>
                </c:pt>
                <c:pt idx="6">
                  <c:v>50090</c:v>
                </c:pt>
                <c:pt idx="7">
                  <c:v>60453</c:v>
                </c:pt>
                <c:pt idx="8">
                  <c:v>78126</c:v>
                </c:pt>
                <c:pt idx="9">
                  <c:v>82580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71-447F-81BB-05F95BBF7400}"/>
            </c:ext>
          </c:extLst>
        </c:ser>
        <c:ser>
          <c:idx val="5"/>
          <c:order val="5"/>
          <c:tx>
            <c:strRef>
              <c:f>'Fréquentation Ligne Colmar'!$B$7</c:f>
              <c:strCache>
                <c:ptCount val="1"/>
                <c:pt idx="0">
                  <c:v>Rouffach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Colmar'!$C$7:$L$7</c:f>
              <c:numCache>
                <c:formatCode>_-* #\ ##0_-;\-* #\ ##0_-;_-* "-"??_-;_-@_-</c:formatCode>
                <c:ptCount val="10"/>
                <c:pt idx="0">
                  <c:v>182304</c:v>
                </c:pt>
                <c:pt idx="1">
                  <c:v>185281</c:v>
                </c:pt>
                <c:pt idx="2">
                  <c:v>198871</c:v>
                </c:pt>
                <c:pt idx="3">
                  <c:v>194040</c:v>
                </c:pt>
                <c:pt idx="4">
                  <c:v>208277</c:v>
                </c:pt>
                <c:pt idx="5">
                  <c:v>156200</c:v>
                </c:pt>
                <c:pt idx="6">
                  <c:v>182401</c:v>
                </c:pt>
                <c:pt idx="7">
                  <c:v>238593</c:v>
                </c:pt>
                <c:pt idx="8">
                  <c:v>317532</c:v>
                </c:pt>
                <c:pt idx="9">
                  <c:v>316012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71-447F-81BB-05F95BBF7400}"/>
            </c:ext>
          </c:extLst>
        </c:ser>
        <c:ser>
          <c:idx val="6"/>
          <c:order val="6"/>
          <c:tx>
            <c:strRef>
              <c:f>'Fréquentation Ligne Colmar'!$B$8</c:f>
              <c:strCache>
                <c:ptCount val="1"/>
                <c:pt idx="0">
                  <c:v>Herrlisheim-près-Colmar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'Fréquentation Ligne Colmar'!$C$1:$L$1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'Fréquentation Ligne Colmar'!$C$8:$L$8</c:f>
              <c:numCache>
                <c:formatCode>_-* #\ ##0_-;\-* #\ ##0_-;_-* "-"??_-;_-@_-</c:formatCode>
                <c:ptCount val="10"/>
                <c:pt idx="0">
                  <c:v>47744</c:v>
                </c:pt>
                <c:pt idx="1">
                  <c:v>53434</c:v>
                </c:pt>
                <c:pt idx="2">
                  <c:v>56497</c:v>
                </c:pt>
                <c:pt idx="3">
                  <c:v>51605</c:v>
                </c:pt>
                <c:pt idx="4">
                  <c:v>51225</c:v>
                </c:pt>
                <c:pt idx="5">
                  <c:v>46806</c:v>
                </c:pt>
                <c:pt idx="6">
                  <c:v>54133</c:v>
                </c:pt>
                <c:pt idx="7">
                  <c:v>58589</c:v>
                </c:pt>
                <c:pt idx="8">
                  <c:v>75686</c:v>
                </c:pt>
                <c:pt idx="9">
                  <c:v>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71-447F-81BB-05F95BBF7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72816"/>
        <c:axId val="383249456"/>
      </c:areaChart>
      <c:catAx>
        <c:axId val="35027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249456"/>
        <c:crosses val="autoZero"/>
        <c:auto val="1"/>
        <c:lblAlgn val="ctr"/>
        <c:lblOffset val="100"/>
        <c:noMultiLvlLbl val="0"/>
      </c:catAx>
      <c:valAx>
        <c:axId val="383249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02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114746</xdr:colOff>
      <xdr:row>9</xdr:row>
      <xdr:rowOff>137918</xdr:rowOff>
    </xdr:from>
    <xdr:to>
      <xdr:col>31</xdr:col>
      <xdr:colOff>141483</xdr:colOff>
      <xdr:row>23</xdr:row>
      <xdr:rowOff>21648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4E6F69C-83B4-3590-BB74-D80EBD119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28269</xdr:rowOff>
    </xdr:to>
    <xdr:sp macro="" textlink="">
      <xdr:nvSpPr>
        <xdr:cNvPr id="2077" name="AutoShape 29" descr="Inoui">
          <a:extLst>
            <a:ext uri="{FF2B5EF4-FFF2-40B4-BE49-F238E27FC236}">
              <a16:creationId xmlns:a16="http://schemas.microsoft.com/office/drawing/2014/main" id="{BD01DF74-A9F0-7626-EA42-E1FF2B8C5E03}"/>
            </a:ext>
          </a:extLst>
        </xdr:cNvPr>
        <xdr:cNvSpPr>
          <a:spLocks noChangeAspect="1" noChangeArrowheads="1"/>
        </xdr:cNvSpPr>
      </xdr:nvSpPr>
      <xdr:spPr bwMode="auto">
        <a:xfrm>
          <a:off x="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27430</xdr:rowOff>
    </xdr:to>
    <xdr:sp macro="" textlink="">
      <xdr:nvSpPr>
        <xdr:cNvPr id="2079" name="AutoShape 31" descr="Inoui">
          <a:extLst>
            <a:ext uri="{FF2B5EF4-FFF2-40B4-BE49-F238E27FC236}">
              <a16:creationId xmlns:a16="http://schemas.microsoft.com/office/drawing/2014/main" id="{4A186CEA-3BD5-406A-A537-BDA6FAEB820F}"/>
            </a:ext>
          </a:extLst>
        </xdr:cNvPr>
        <xdr:cNvSpPr>
          <a:spLocks noChangeAspect="1" noChangeArrowheads="1"/>
        </xdr:cNvSpPr>
      </xdr:nvSpPr>
      <xdr:spPr bwMode="auto">
        <a:xfrm>
          <a:off x="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16292</xdr:rowOff>
    </xdr:to>
    <xdr:sp macro="" textlink="">
      <xdr:nvSpPr>
        <xdr:cNvPr id="2080" name="AutoShape 32" descr="Inoui">
          <a:extLst>
            <a:ext uri="{FF2B5EF4-FFF2-40B4-BE49-F238E27FC236}">
              <a16:creationId xmlns:a16="http://schemas.microsoft.com/office/drawing/2014/main" id="{AF1EE61B-E9A4-D2C9-CA4B-13A85AE5F946}"/>
            </a:ext>
          </a:extLst>
        </xdr:cNvPr>
        <xdr:cNvSpPr>
          <a:spLocks noChangeAspect="1" noChangeArrowheads="1"/>
        </xdr:cNvSpPr>
      </xdr:nvSpPr>
      <xdr:spPr bwMode="auto">
        <a:xfrm>
          <a:off x="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28269</xdr:rowOff>
    </xdr:to>
    <xdr:sp macro="" textlink="">
      <xdr:nvSpPr>
        <xdr:cNvPr id="2081" name="AutoShape 33" descr="Inoui">
          <a:extLst>
            <a:ext uri="{FF2B5EF4-FFF2-40B4-BE49-F238E27FC236}">
              <a16:creationId xmlns:a16="http://schemas.microsoft.com/office/drawing/2014/main" id="{878B4893-C9D7-F1B5-1365-0B0269CACB9E}"/>
            </a:ext>
          </a:extLst>
        </xdr:cNvPr>
        <xdr:cNvSpPr>
          <a:spLocks noChangeAspect="1" noChangeArrowheads="1"/>
        </xdr:cNvSpPr>
      </xdr:nvSpPr>
      <xdr:spPr bwMode="auto">
        <a:xfrm>
          <a:off x="0" y="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17976</xdr:rowOff>
    </xdr:to>
    <xdr:sp macro="" textlink="">
      <xdr:nvSpPr>
        <xdr:cNvPr id="2082" name="AutoShape 34" descr="Inoui">
          <a:extLst>
            <a:ext uri="{FF2B5EF4-FFF2-40B4-BE49-F238E27FC236}">
              <a16:creationId xmlns:a16="http://schemas.microsoft.com/office/drawing/2014/main" id="{DCDD21E6-EE5E-E1BF-82EA-E2956A658A3C}"/>
            </a:ext>
          </a:extLst>
        </xdr:cNvPr>
        <xdr:cNvSpPr>
          <a:spLocks noChangeAspect="1" noChangeArrowheads="1"/>
        </xdr:cNvSpPr>
      </xdr:nvSpPr>
      <xdr:spPr bwMode="auto">
        <a:xfrm>
          <a:off x="0" y="1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28269</xdr:rowOff>
    </xdr:to>
    <xdr:sp macro="" textlink="">
      <xdr:nvSpPr>
        <xdr:cNvPr id="2083" name="AutoShape 35" descr="Inoui">
          <a:extLst>
            <a:ext uri="{FF2B5EF4-FFF2-40B4-BE49-F238E27FC236}">
              <a16:creationId xmlns:a16="http://schemas.microsoft.com/office/drawing/2014/main" id="{D1CC3184-8EA9-21A0-2D5F-2E5FB8F3DC6B}"/>
            </a:ext>
          </a:extLst>
        </xdr:cNvPr>
        <xdr:cNvSpPr>
          <a:spLocks noChangeAspect="1" noChangeArrowheads="1"/>
        </xdr:cNvSpPr>
      </xdr:nvSpPr>
      <xdr:spPr bwMode="auto">
        <a:xfrm>
          <a:off x="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17979</xdr:rowOff>
    </xdr:to>
    <xdr:sp macro="" textlink="">
      <xdr:nvSpPr>
        <xdr:cNvPr id="2084" name="AutoShape 36" descr="Lyria">
          <a:extLst>
            <a:ext uri="{FF2B5EF4-FFF2-40B4-BE49-F238E27FC236}">
              <a16:creationId xmlns:a16="http://schemas.microsoft.com/office/drawing/2014/main" id="{2FEE72F1-CAFC-FD7C-A3BA-1B8AD50D13B2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16292</xdr:rowOff>
    </xdr:to>
    <xdr:sp macro="" textlink="">
      <xdr:nvSpPr>
        <xdr:cNvPr id="2085" name="AutoShape 37" descr="Inoui">
          <a:extLst>
            <a:ext uri="{FF2B5EF4-FFF2-40B4-BE49-F238E27FC236}">
              <a16:creationId xmlns:a16="http://schemas.microsoft.com/office/drawing/2014/main" id="{01F99A3B-96C5-1A71-FFEE-BC6F5E8B1448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172050</xdr:rowOff>
    </xdr:to>
    <xdr:sp macro="" textlink="">
      <xdr:nvSpPr>
        <xdr:cNvPr id="2086" name="AutoShape 38" descr="Inoui">
          <a:extLst>
            <a:ext uri="{FF2B5EF4-FFF2-40B4-BE49-F238E27FC236}">
              <a16:creationId xmlns:a16="http://schemas.microsoft.com/office/drawing/2014/main" id="{B9747E78-2B7E-DDCA-A225-FEE4197C2CAE}"/>
            </a:ext>
          </a:extLst>
        </xdr:cNvPr>
        <xdr:cNvSpPr>
          <a:spLocks noChangeAspect="1" noChangeArrowheads="1"/>
        </xdr:cNvSpPr>
      </xdr:nvSpPr>
      <xdr:spPr bwMode="auto">
        <a:xfrm>
          <a:off x="0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27311</xdr:rowOff>
    </xdr:to>
    <xdr:sp macro="" textlink="">
      <xdr:nvSpPr>
        <xdr:cNvPr id="2087" name="AutoShape 39" descr="Lyria">
          <a:extLst>
            <a:ext uri="{FF2B5EF4-FFF2-40B4-BE49-F238E27FC236}">
              <a16:creationId xmlns:a16="http://schemas.microsoft.com/office/drawing/2014/main" id="{10A94031-6CB3-D0A3-A90B-A61DD762B8AD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19958</xdr:rowOff>
    </xdr:to>
    <xdr:sp macro="" textlink="">
      <xdr:nvSpPr>
        <xdr:cNvPr id="2088" name="AutoShape 40" descr="Inoui">
          <a:extLst>
            <a:ext uri="{FF2B5EF4-FFF2-40B4-BE49-F238E27FC236}">
              <a16:creationId xmlns:a16="http://schemas.microsoft.com/office/drawing/2014/main" id="{E1DC88FE-7E9B-0E8D-B36A-45AF3170453B}"/>
            </a:ext>
          </a:extLst>
        </xdr:cNvPr>
        <xdr:cNvSpPr>
          <a:spLocks noChangeAspect="1" noChangeArrowheads="1"/>
        </xdr:cNvSpPr>
      </xdr:nvSpPr>
      <xdr:spPr bwMode="auto">
        <a:xfrm>
          <a:off x="0" y="2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18810</xdr:rowOff>
    </xdr:to>
    <xdr:sp macro="" textlink="">
      <xdr:nvSpPr>
        <xdr:cNvPr id="2089" name="AutoShape 41" descr="Inoui">
          <a:extLst>
            <a:ext uri="{FF2B5EF4-FFF2-40B4-BE49-F238E27FC236}">
              <a16:creationId xmlns:a16="http://schemas.microsoft.com/office/drawing/2014/main" id="{64E83BC8-F35B-75BC-93EC-25D4FC28E995}"/>
            </a:ext>
          </a:extLst>
        </xdr:cNvPr>
        <xdr:cNvSpPr>
          <a:spLocks noChangeAspect="1" noChangeArrowheads="1"/>
        </xdr:cNvSpPr>
      </xdr:nvSpPr>
      <xdr:spPr bwMode="auto">
        <a:xfrm>
          <a:off x="0" y="24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174566</xdr:rowOff>
    </xdr:to>
    <xdr:sp macro="" textlink="">
      <xdr:nvSpPr>
        <xdr:cNvPr id="2090" name="AutoShape 42" descr="Lyria">
          <a:extLst>
            <a:ext uri="{FF2B5EF4-FFF2-40B4-BE49-F238E27FC236}">
              <a16:creationId xmlns:a16="http://schemas.microsoft.com/office/drawing/2014/main" id="{57B1DE5F-CDB5-E577-B83F-EE20919F125C}"/>
            </a:ext>
          </a:extLst>
        </xdr:cNvPr>
        <xdr:cNvSpPr>
          <a:spLocks noChangeAspect="1" noChangeArrowheads="1"/>
        </xdr:cNvSpPr>
      </xdr:nvSpPr>
      <xdr:spPr bwMode="auto">
        <a:xfrm>
          <a:off x="0" y="26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18810</xdr:rowOff>
    </xdr:to>
    <xdr:sp macro="" textlink="">
      <xdr:nvSpPr>
        <xdr:cNvPr id="2091" name="AutoShape 43" descr="Lyria">
          <a:extLst>
            <a:ext uri="{FF2B5EF4-FFF2-40B4-BE49-F238E27FC236}">
              <a16:creationId xmlns:a16="http://schemas.microsoft.com/office/drawing/2014/main" id="{92F9A670-79A5-6518-24C8-834BE3138827}"/>
            </a:ext>
          </a:extLst>
        </xdr:cNvPr>
        <xdr:cNvSpPr>
          <a:spLocks noChangeAspect="1" noChangeArrowheads="1"/>
        </xdr:cNvSpPr>
      </xdr:nvSpPr>
      <xdr:spPr bwMode="auto">
        <a:xfrm>
          <a:off x="0" y="28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174566</xdr:rowOff>
    </xdr:to>
    <xdr:sp macro="" textlink="">
      <xdr:nvSpPr>
        <xdr:cNvPr id="2092" name="AutoShape 44" descr="Inoui">
          <a:extLst>
            <a:ext uri="{FF2B5EF4-FFF2-40B4-BE49-F238E27FC236}">
              <a16:creationId xmlns:a16="http://schemas.microsoft.com/office/drawing/2014/main" id="{ECA7C763-152C-C4DE-43C3-7B8517B292AF}"/>
            </a:ext>
          </a:extLst>
        </xdr:cNvPr>
        <xdr:cNvSpPr>
          <a:spLocks noChangeAspect="1" noChangeArrowheads="1"/>
        </xdr:cNvSpPr>
      </xdr:nvSpPr>
      <xdr:spPr bwMode="auto">
        <a:xfrm>
          <a:off x="0" y="29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18809</xdr:rowOff>
    </xdr:to>
    <xdr:sp macro="" textlink="">
      <xdr:nvSpPr>
        <xdr:cNvPr id="2093" name="AutoShape 45" descr="Inoui">
          <a:extLst>
            <a:ext uri="{FF2B5EF4-FFF2-40B4-BE49-F238E27FC236}">
              <a16:creationId xmlns:a16="http://schemas.microsoft.com/office/drawing/2014/main" id="{8C15B132-BC97-982F-1007-2BADE25FD5A1}"/>
            </a:ext>
          </a:extLst>
        </xdr:cNvPr>
        <xdr:cNvSpPr>
          <a:spLocks noChangeAspect="1" noChangeArrowheads="1"/>
        </xdr:cNvSpPr>
      </xdr:nvSpPr>
      <xdr:spPr bwMode="auto">
        <a:xfrm>
          <a:off x="0" y="3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19958</xdr:rowOff>
    </xdr:to>
    <xdr:sp macro="" textlink="">
      <xdr:nvSpPr>
        <xdr:cNvPr id="2094" name="AutoShape 46" descr="Inoui">
          <a:extLst>
            <a:ext uri="{FF2B5EF4-FFF2-40B4-BE49-F238E27FC236}">
              <a16:creationId xmlns:a16="http://schemas.microsoft.com/office/drawing/2014/main" id="{046FA6EF-ACEC-DAC0-E5EB-AC1E1FEA9199}"/>
            </a:ext>
          </a:extLst>
        </xdr:cNvPr>
        <xdr:cNvSpPr>
          <a:spLocks noChangeAspect="1" noChangeArrowheads="1"/>
        </xdr:cNvSpPr>
      </xdr:nvSpPr>
      <xdr:spPr bwMode="auto">
        <a:xfrm>
          <a:off x="0" y="33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18809</xdr:rowOff>
    </xdr:to>
    <xdr:sp macro="" textlink="">
      <xdr:nvSpPr>
        <xdr:cNvPr id="2095" name="AutoShape 47" descr="Inoui">
          <a:extLst>
            <a:ext uri="{FF2B5EF4-FFF2-40B4-BE49-F238E27FC236}">
              <a16:creationId xmlns:a16="http://schemas.microsoft.com/office/drawing/2014/main" id="{14666B18-7C9F-2F35-1A1B-055DC574F4FE}"/>
            </a:ext>
          </a:extLst>
        </xdr:cNvPr>
        <xdr:cNvSpPr>
          <a:spLocks noChangeAspect="1" noChangeArrowheads="1"/>
        </xdr:cNvSpPr>
      </xdr:nvSpPr>
      <xdr:spPr bwMode="auto">
        <a:xfrm>
          <a:off x="0" y="3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174566</xdr:rowOff>
    </xdr:to>
    <xdr:sp macro="" textlink="">
      <xdr:nvSpPr>
        <xdr:cNvPr id="2096" name="AutoShape 48" descr="Inoui">
          <a:extLst>
            <a:ext uri="{FF2B5EF4-FFF2-40B4-BE49-F238E27FC236}">
              <a16:creationId xmlns:a16="http://schemas.microsoft.com/office/drawing/2014/main" id="{3B865D8C-5178-7F60-D9FB-B56868F9684D}"/>
            </a:ext>
          </a:extLst>
        </xdr:cNvPr>
        <xdr:cNvSpPr>
          <a:spLocks noChangeAspect="1" noChangeArrowheads="1"/>
        </xdr:cNvSpPr>
      </xdr:nvSpPr>
      <xdr:spPr bwMode="auto">
        <a:xfrm>
          <a:off x="0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18811</xdr:rowOff>
    </xdr:to>
    <xdr:sp macro="" textlink="">
      <xdr:nvSpPr>
        <xdr:cNvPr id="2097" name="AutoShape 49" descr="Inoui">
          <a:extLst>
            <a:ext uri="{FF2B5EF4-FFF2-40B4-BE49-F238E27FC236}">
              <a16:creationId xmlns:a16="http://schemas.microsoft.com/office/drawing/2014/main" id="{5B2E2EFF-3F8E-1D14-E497-3F65B9E46F66}"/>
            </a:ext>
          </a:extLst>
        </xdr:cNvPr>
        <xdr:cNvSpPr>
          <a:spLocks noChangeAspect="1" noChangeArrowheads="1"/>
        </xdr:cNvSpPr>
      </xdr:nvSpPr>
      <xdr:spPr bwMode="auto">
        <a:xfrm>
          <a:off x="0" y="39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174565</xdr:rowOff>
    </xdr:to>
    <xdr:sp macro="" textlink="">
      <xdr:nvSpPr>
        <xdr:cNvPr id="2098" name="AutoShape 50" descr="Lyria">
          <a:extLst>
            <a:ext uri="{FF2B5EF4-FFF2-40B4-BE49-F238E27FC236}">
              <a16:creationId xmlns:a16="http://schemas.microsoft.com/office/drawing/2014/main" id="{10185F3F-BAE2-0ED2-0DF4-B8DE0EAF4EB8}"/>
            </a:ext>
          </a:extLst>
        </xdr:cNvPr>
        <xdr:cNvSpPr>
          <a:spLocks noChangeAspect="1" noChangeArrowheads="1"/>
        </xdr:cNvSpPr>
      </xdr:nvSpPr>
      <xdr:spPr bwMode="auto">
        <a:xfrm>
          <a:off x="0" y="41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18810</xdr:rowOff>
    </xdr:to>
    <xdr:sp macro="" textlink="">
      <xdr:nvSpPr>
        <xdr:cNvPr id="2099" name="AutoShape 51" descr="Inoui">
          <a:extLst>
            <a:ext uri="{FF2B5EF4-FFF2-40B4-BE49-F238E27FC236}">
              <a16:creationId xmlns:a16="http://schemas.microsoft.com/office/drawing/2014/main" id="{CC5A4257-DC26-2E67-D732-098434671B6E}"/>
            </a:ext>
          </a:extLst>
        </xdr:cNvPr>
        <xdr:cNvSpPr>
          <a:spLocks noChangeAspect="1" noChangeArrowheads="1"/>
        </xdr:cNvSpPr>
      </xdr:nvSpPr>
      <xdr:spPr bwMode="auto">
        <a:xfrm>
          <a:off x="0" y="42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19956</xdr:rowOff>
    </xdr:to>
    <xdr:sp macro="" textlink="">
      <xdr:nvSpPr>
        <xdr:cNvPr id="2100" name="AutoShape 52" descr="Inoui">
          <a:extLst>
            <a:ext uri="{FF2B5EF4-FFF2-40B4-BE49-F238E27FC236}">
              <a16:creationId xmlns:a16="http://schemas.microsoft.com/office/drawing/2014/main" id="{09C62304-2913-735D-506D-AE78C49DB43C}"/>
            </a:ext>
          </a:extLst>
        </xdr:cNvPr>
        <xdr:cNvSpPr>
          <a:spLocks noChangeAspect="1" noChangeArrowheads="1"/>
        </xdr:cNvSpPr>
      </xdr:nvSpPr>
      <xdr:spPr bwMode="auto">
        <a:xfrm>
          <a:off x="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27311</xdr:rowOff>
    </xdr:to>
    <xdr:sp macro="" textlink="">
      <xdr:nvSpPr>
        <xdr:cNvPr id="2101" name="AutoShape 53" descr="Lyria">
          <a:extLst>
            <a:ext uri="{FF2B5EF4-FFF2-40B4-BE49-F238E27FC236}">
              <a16:creationId xmlns:a16="http://schemas.microsoft.com/office/drawing/2014/main" id="{4C6FCAFB-07D9-7B75-8165-70A981311361}"/>
            </a:ext>
          </a:extLst>
        </xdr:cNvPr>
        <xdr:cNvSpPr>
          <a:spLocks noChangeAspect="1" noChangeArrowheads="1"/>
        </xdr:cNvSpPr>
      </xdr:nvSpPr>
      <xdr:spPr bwMode="auto">
        <a:xfrm>
          <a:off x="0" y="46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19956</xdr:rowOff>
    </xdr:to>
    <xdr:sp macro="" textlink="">
      <xdr:nvSpPr>
        <xdr:cNvPr id="2102" name="AutoShape 54" descr="Inoui">
          <a:extLst>
            <a:ext uri="{FF2B5EF4-FFF2-40B4-BE49-F238E27FC236}">
              <a16:creationId xmlns:a16="http://schemas.microsoft.com/office/drawing/2014/main" id="{A46AD5ED-3984-B7CE-C016-F95FEE90BEBB}"/>
            </a:ext>
          </a:extLst>
        </xdr:cNvPr>
        <xdr:cNvSpPr>
          <a:spLocks noChangeAspect="1" noChangeArrowheads="1"/>
        </xdr:cNvSpPr>
      </xdr:nvSpPr>
      <xdr:spPr bwMode="auto">
        <a:xfrm>
          <a:off x="0" y="48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18812</xdr:rowOff>
    </xdr:to>
    <xdr:sp macro="" textlink="">
      <xdr:nvSpPr>
        <xdr:cNvPr id="2103" name="AutoShape 55" descr="Lyria">
          <a:extLst>
            <a:ext uri="{FF2B5EF4-FFF2-40B4-BE49-F238E27FC236}">
              <a16:creationId xmlns:a16="http://schemas.microsoft.com/office/drawing/2014/main" id="{0AA5AC95-4927-1200-9CDA-770F5D4ED7E7}"/>
            </a:ext>
          </a:extLst>
        </xdr:cNvPr>
        <xdr:cNvSpPr>
          <a:spLocks noChangeAspect="1" noChangeArrowheads="1"/>
        </xdr:cNvSpPr>
      </xdr:nvSpPr>
      <xdr:spPr bwMode="auto">
        <a:xfrm>
          <a:off x="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174563</xdr:rowOff>
    </xdr:to>
    <xdr:sp macro="" textlink="">
      <xdr:nvSpPr>
        <xdr:cNvPr id="2104" name="AutoShape 56" descr="Inoui">
          <a:extLst>
            <a:ext uri="{FF2B5EF4-FFF2-40B4-BE49-F238E27FC236}">
              <a16:creationId xmlns:a16="http://schemas.microsoft.com/office/drawing/2014/main" id="{B4C36E54-3648-7C49-C166-C4C6D9DA131B}"/>
            </a:ext>
          </a:extLst>
        </xdr:cNvPr>
        <xdr:cNvSpPr>
          <a:spLocks noChangeAspect="1" noChangeArrowheads="1"/>
        </xdr:cNvSpPr>
      </xdr:nvSpPr>
      <xdr:spPr bwMode="auto">
        <a:xfrm>
          <a:off x="0" y="5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18813</xdr:rowOff>
    </xdr:to>
    <xdr:sp macro="" textlink="">
      <xdr:nvSpPr>
        <xdr:cNvPr id="2105" name="AutoShape 57" descr="Lyria">
          <a:extLst>
            <a:ext uri="{FF2B5EF4-FFF2-40B4-BE49-F238E27FC236}">
              <a16:creationId xmlns:a16="http://schemas.microsoft.com/office/drawing/2014/main" id="{3F535A45-5E3A-216B-A48B-8E58F02D344A}"/>
            </a:ext>
          </a:extLst>
        </xdr:cNvPr>
        <xdr:cNvSpPr>
          <a:spLocks noChangeAspect="1" noChangeArrowheads="1"/>
        </xdr:cNvSpPr>
      </xdr:nvSpPr>
      <xdr:spPr bwMode="auto">
        <a:xfrm>
          <a:off x="0" y="53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174564</xdr:rowOff>
    </xdr:to>
    <xdr:sp macro="" textlink="">
      <xdr:nvSpPr>
        <xdr:cNvPr id="2106" name="AutoShape 58" descr="Inoui">
          <a:extLst>
            <a:ext uri="{FF2B5EF4-FFF2-40B4-BE49-F238E27FC236}">
              <a16:creationId xmlns:a16="http://schemas.microsoft.com/office/drawing/2014/main" id="{49F5267E-0275-D58B-9570-9562D3F78407}"/>
            </a:ext>
          </a:extLst>
        </xdr:cNvPr>
        <xdr:cNvSpPr>
          <a:spLocks noChangeAspect="1" noChangeArrowheads="1"/>
        </xdr:cNvSpPr>
      </xdr:nvSpPr>
      <xdr:spPr bwMode="auto">
        <a:xfrm>
          <a:off x="0" y="55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18812</xdr:rowOff>
    </xdr:to>
    <xdr:sp macro="" textlink="">
      <xdr:nvSpPr>
        <xdr:cNvPr id="2107" name="AutoShape 59" descr="Inoui">
          <a:extLst>
            <a:ext uri="{FF2B5EF4-FFF2-40B4-BE49-F238E27FC236}">
              <a16:creationId xmlns:a16="http://schemas.microsoft.com/office/drawing/2014/main" id="{0231F6F8-B5AD-385F-C3AF-A2A4C317111F}"/>
            </a:ext>
          </a:extLst>
        </xdr:cNvPr>
        <xdr:cNvSpPr>
          <a:spLocks noChangeAspect="1" noChangeArrowheads="1"/>
        </xdr:cNvSpPr>
      </xdr:nvSpPr>
      <xdr:spPr bwMode="auto">
        <a:xfrm>
          <a:off x="0" y="57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174564</xdr:rowOff>
    </xdr:to>
    <xdr:sp macro="" textlink="">
      <xdr:nvSpPr>
        <xdr:cNvPr id="2108" name="AutoShape 60" descr="Inoui">
          <a:extLst>
            <a:ext uri="{FF2B5EF4-FFF2-40B4-BE49-F238E27FC236}">
              <a16:creationId xmlns:a16="http://schemas.microsoft.com/office/drawing/2014/main" id="{C8C76B2D-7B62-09CA-CB32-AC2C219DC969}"/>
            </a:ext>
          </a:extLst>
        </xdr:cNvPr>
        <xdr:cNvSpPr>
          <a:spLocks noChangeAspect="1" noChangeArrowheads="1"/>
        </xdr:cNvSpPr>
      </xdr:nvSpPr>
      <xdr:spPr bwMode="auto">
        <a:xfrm>
          <a:off x="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28269</xdr:rowOff>
    </xdr:to>
    <xdr:sp macro="" textlink="">
      <xdr:nvSpPr>
        <xdr:cNvPr id="2109" name="AutoShape 61" descr="Inoui">
          <a:extLst>
            <a:ext uri="{FF2B5EF4-FFF2-40B4-BE49-F238E27FC236}">
              <a16:creationId xmlns:a16="http://schemas.microsoft.com/office/drawing/2014/main" id="{4A2DD2E1-B5BD-3EF4-F0AC-65E3B79987D5}"/>
            </a:ext>
          </a:extLst>
        </xdr:cNvPr>
        <xdr:cNvSpPr>
          <a:spLocks noChangeAspect="1" noChangeArrowheads="1"/>
        </xdr:cNvSpPr>
      </xdr:nvSpPr>
      <xdr:spPr bwMode="auto">
        <a:xfrm>
          <a:off x="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28269</xdr:rowOff>
    </xdr:to>
    <xdr:sp macro="" textlink="">
      <xdr:nvSpPr>
        <xdr:cNvPr id="2110" name="AutoShape 62" descr="Inoui">
          <a:extLst>
            <a:ext uri="{FF2B5EF4-FFF2-40B4-BE49-F238E27FC236}">
              <a16:creationId xmlns:a16="http://schemas.microsoft.com/office/drawing/2014/main" id="{06713540-CF16-9EC0-D3D5-2E596D0E62DD}"/>
            </a:ext>
          </a:extLst>
        </xdr:cNvPr>
        <xdr:cNvSpPr>
          <a:spLocks noChangeAspect="1" noChangeArrowheads="1"/>
        </xdr:cNvSpPr>
      </xdr:nvSpPr>
      <xdr:spPr bwMode="auto">
        <a:xfrm>
          <a:off x="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16292</xdr:rowOff>
    </xdr:to>
    <xdr:sp macro="" textlink="">
      <xdr:nvSpPr>
        <xdr:cNvPr id="2111" name="AutoShape 63" descr="Inoui">
          <a:extLst>
            <a:ext uri="{FF2B5EF4-FFF2-40B4-BE49-F238E27FC236}">
              <a16:creationId xmlns:a16="http://schemas.microsoft.com/office/drawing/2014/main" id="{0EA800A3-D687-6A16-8D82-45DD26B46072}"/>
            </a:ext>
          </a:extLst>
        </xdr:cNvPr>
        <xdr:cNvSpPr>
          <a:spLocks noChangeAspect="1" noChangeArrowheads="1"/>
        </xdr:cNvSpPr>
      </xdr:nvSpPr>
      <xdr:spPr bwMode="auto">
        <a:xfrm>
          <a:off x="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25753</xdr:rowOff>
    </xdr:to>
    <xdr:sp macro="" textlink="">
      <xdr:nvSpPr>
        <xdr:cNvPr id="2112" name="AutoShape 64" descr="Lyria">
          <a:extLst>
            <a:ext uri="{FF2B5EF4-FFF2-40B4-BE49-F238E27FC236}">
              <a16:creationId xmlns:a16="http://schemas.microsoft.com/office/drawing/2014/main" id="{79F28043-EA85-6EE9-B060-A4660F130E6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16294</xdr:rowOff>
    </xdr:to>
    <xdr:sp macro="" textlink="">
      <xdr:nvSpPr>
        <xdr:cNvPr id="2113" name="AutoShape 65" descr="Inoui">
          <a:extLst>
            <a:ext uri="{FF2B5EF4-FFF2-40B4-BE49-F238E27FC236}">
              <a16:creationId xmlns:a16="http://schemas.microsoft.com/office/drawing/2014/main" id="{769888F6-69CA-D514-D48A-406C50A2E216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16294</xdr:rowOff>
    </xdr:to>
    <xdr:sp macro="" textlink="">
      <xdr:nvSpPr>
        <xdr:cNvPr id="2114" name="AutoShape 66" descr="Inoui">
          <a:extLst>
            <a:ext uri="{FF2B5EF4-FFF2-40B4-BE49-F238E27FC236}">
              <a16:creationId xmlns:a16="http://schemas.microsoft.com/office/drawing/2014/main" id="{3584FF83-D04B-0E07-22EC-07D73040A472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16294</xdr:rowOff>
    </xdr:to>
    <xdr:sp macro="" textlink="">
      <xdr:nvSpPr>
        <xdr:cNvPr id="2115" name="AutoShape 67" descr="Lyria">
          <a:extLst>
            <a:ext uri="{FF2B5EF4-FFF2-40B4-BE49-F238E27FC236}">
              <a16:creationId xmlns:a16="http://schemas.microsoft.com/office/drawing/2014/main" id="{C0977C95-C0B3-CA52-7643-853A673701B9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16294</xdr:rowOff>
    </xdr:to>
    <xdr:sp macro="" textlink="">
      <xdr:nvSpPr>
        <xdr:cNvPr id="2116" name="AutoShape 68" descr="Inoui">
          <a:extLst>
            <a:ext uri="{FF2B5EF4-FFF2-40B4-BE49-F238E27FC236}">
              <a16:creationId xmlns:a16="http://schemas.microsoft.com/office/drawing/2014/main" id="{6F37E320-443F-D9A0-9754-FCBE8825DDAD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16296</xdr:rowOff>
    </xdr:to>
    <xdr:sp macro="" textlink="">
      <xdr:nvSpPr>
        <xdr:cNvPr id="2117" name="AutoShape 69" descr="Inoui">
          <a:extLst>
            <a:ext uri="{FF2B5EF4-FFF2-40B4-BE49-F238E27FC236}">
              <a16:creationId xmlns:a16="http://schemas.microsoft.com/office/drawing/2014/main" id="{714325F7-6657-44D4-769B-3B3BE416023A}"/>
            </a:ext>
          </a:extLst>
        </xdr:cNvPr>
        <xdr:cNvSpPr>
          <a:spLocks noChangeAspect="1" noChangeArrowheads="1"/>
        </xdr:cNvSpPr>
      </xdr:nvSpPr>
      <xdr:spPr bwMode="auto">
        <a:xfrm>
          <a:off x="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16294</xdr:rowOff>
    </xdr:to>
    <xdr:sp macro="" textlink="">
      <xdr:nvSpPr>
        <xdr:cNvPr id="2118" name="AutoShape 70" descr="Lyria">
          <a:extLst>
            <a:ext uri="{FF2B5EF4-FFF2-40B4-BE49-F238E27FC236}">
              <a16:creationId xmlns:a16="http://schemas.microsoft.com/office/drawing/2014/main" id="{3C3434B0-F9A6-88D8-ECAA-29251B61D5F5}"/>
            </a:ext>
          </a:extLst>
        </xdr:cNvPr>
        <xdr:cNvSpPr>
          <a:spLocks noChangeAspect="1" noChangeArrowheads="1"/>
        </xdr:cNvSpPr>
      </xdr:nvSpPr>
      <xdr:spPr bwMode="auto">
        <a:xfrm>
          <a:off x="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25753</xdr:rowOff>
    </xdr:to>
    <xdr:sp macro="" textlink="">
      <xdr:nvSpPr>
        <xdr:cNvPr id="2119" name="AutoShape 71" descr="Lyria">
          <a:extLst>
            <a:ext uri="{FF2B5EF4-FFF2-40B4-BE49-F238E27FC236}">
              <a16:creationId xmlns:a16="http://schemas.microsoft.com/office/drawing/2014/main" id="{A95BF9DA-2231-77ED-3D0B-329AC0F29AC8}"/>
            </a:ext>
          </a:extLst>
        </xdr:cNvPr>
        <xdr:cNvSpPr>
          <a:spLocks noChangeAspect="1" noChangeArrowheads="1"/>
        </xdr:cNvSpPr>
      </xdr:nvSpPr>
      <xdr:spPr bwMode="auto">
        <a:xfrm>
          <a:off x="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16295</xdr:rowOff>
    </xdr:to>
    <xdr:sp macro="" textlink="">
      <xdr:nvSpPr>
        <xdr:cNvPr id="2120" name="AutoShape 72" descr="Inoui">
          <a:extLst>
            <a:ext uri="{FF2B5EF4-FFF2-40B4-BE49-F238E27FC236}">
              <a16:creationId xmlns:a16="http://schemas.microsoft.com/office/drawing/2014/main" id="{9B1AE4D7-E963-D033-02BF-4C35C1C29E75}"/>
            </a:ext>
          </a:extLst>
        </xdr:cNvPr>
        <xdr:cNvSpPr>
          <a:spLocks noChangeAspect="1" noChangeArrowheads="1"/>
        </xdr:cNvSpPr>
      </xdr:nvSpPr>
      <xdr:spPr bwMode="auto">
        <a:xfrm>
          <a:off x="0" y="96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16296</xdr:rowOff>
    </xdr:to>
    <xdr:sp macro="" textlink="">
      <xdr:nvSpPr>
        <xdr:cNvPr id="2121" name="AutoShape 73" descr="Inoui">
          <a:extLst>
            <a:ext uri="{FF2B5EF4-FFF2-40B4-BE49-F238E27FC236}">
              <a16:creationId xmlns:a16="http://schemas.microsoft.com/office/drawing/2014/main" id="{39265752-B112-AA22-8AEE-BDBB60D66A39}"/>
            </a:ext>
          </a:extLst>
        </xdr:cNvPr>
        <xdr:cNvSpPr>
          <a:spLocks noChangeAspect="1" noChangeArrowheads="1"/>
        </xdr:cNvSpPr>
      </xdr:nvSpPr>
      <xdr:spPr bwMode="auto">
        <a:xfrm>
          <a:off x="0" y="105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16295</xdr:rowOff>
    </xdr:to>
    <xdr:sp macro="" textlink="">
      <xdr:nvSpPr>
        <xdr:cNvPr id="2122" name="AutoShape 74" descr="Inoui">
          <a:extLst>
            <a:ext uri="{FF2B5EF4-FFF2-40B4-BE49-F238E27FC236}">
              <a16:creationId xmlns:a16="http://schemas.microsoft.com/office/drawing/2014/main" id="{23A0181B-639B-742D-4520-CFE05B456D32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16296</xdr:rowOff>
    </xdr:to>
    <xdr:sp macro="" textlink="">
      <xdr:nvSpPr>
        <xdr:cNvPr id="2123" name="AutoShape 75" descr="Inoui">
          <a:extLst>
            <a:ext uri="{FF2B5EF4-FFF2-40B4-BE49-F238E27FC236}">
              <a16:creationId xmlns:a16="http://schemas.microsoft.com/office/drawing/2014/main" id="{5D968FCA-F05E-97E1-A5CF-8A0E9C0F14B9}"/>
            </a:ext>
          </a:extLst>
        </xdr:cNvPr>
        <xdr:cNvSpPr>
          <a:spLocks noChangeAspect="1" noChangeArrowheads="1"/>
        </xdr:cNvSpPr>
      </xdr:nvSpPr>
      <xdr:spPr bwMode="auto">
        <a:xfrm>
          <a:off x="0" y="123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16296</xdr:rowOff>
    </xdr:to>
    <xdr:sp macro="" textlink="">
      <xdr:nvSpPr>
        <xdr:cNvPr id="2124" name="AutoShape 76" descr="Inoui">
          <a:extLst>
            <a:ext uri="{FF2B5EF4-FFF2-40B4-BE49-F238E27FC236}">
              <a16:creationId xmlns:a16="http://schemas.microsoft.com/office/drawing/2014/main" id="{905535EF-0DDE-6EA7-9870-8238256B2DD5}"/>
            </a:ext>
          </a:extLst>
        </xdr:cNvPr>
        <xdr:cNvSpPr>
          <a:spLocks noChangeAspect="1" noChangeArrowheads="1"/>
        </xdr:cNvSpPr>
      </xdr:nvSpPr>
      <xdr:spPr bwMode="auto">
        <a:xfrm>
          <a:off x="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25753</xdr:rowOff>
    </xdr:to>
    <xdr:sp macro="" textlink="">
      <xdr:nvSpPr>
        <xdr:cNvPr id="2125" name="AutoShape 77" descr="Inoui">
          <a:extLst>
            <a:ext uri="{FF2B5EF4-FFF2-40B4-BE49-F238E27FC236}">
              <a16:creationId xmlns:a16="http://schemas.microsoft.com/office/drawing/2014/main" id="{E57BD5E1-9B55-D890-772E-05DD6170A650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25752</xdr:rowOff>
    </xdr:to>
    <xdr:sp macro="" textlink="">
      <xdr:nvSpPr>
        <xdr:cNvPr id="2126" name="AutoShape 78" descr="Lyria">
          <a:extLst>
            <a:ext uri="{FF2B5EF4-FFF2-40B4-BE49-F238E27FC236}">
              <a16:creationId xmlns:a16="http://schemas.microsoft.com/office/drawing/2014/main" id="{2A196DB0-81CB-97CB-2082-A307236E1B18}"/>
            </a:ext>
          </a:extLst>
        </xdr:cNvPr>
        <xdr:cNvSpPr>
          <a:spLocks noChangeAspect="1" noChangeArrowheads="1"/>
        </xdr:cNvSpPr>
      </xdr:nvSpPr>
      <xdr:spPr bwMode="auto">
        <a:xfrm>
          <a:off x="0" y="150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16294</xdr:rowOff>
    </xdr:to>
    <xdr:sp macro="" textlink="">
      <xdr:nvSpPr>
        <xdr:cNvPr id="2127" name="AutoShape 79" descr="Inoui">
          <a:extLst>
            <a:ext uri="{FF2B5EF4-FFF2-40B4-BE49-F238E27FC236}">
              <a16:creationId xmlns:a16="http://schemas.microsoft.com/office/drawing/2014/main" id="{EA6DF036-AB56-31E0-9125-EDC3D4F61276}"/>
            </a:ext>
          </a:extLst>
        </xdr:cNvPr>
        <xdr:cNvSpPr>
          <a:spLocks noChangeAspect="1" noChangeArrowheads="1"/>
        </xdr:cNvSpPr>
      </xdr:nvSpPr>
      <xdr:spPr bwMode="auto">
        <a:xfrm>
          <a:off x="0" y="16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25753</xdr:rowOff>
    </xdr:to>
    <xdr:sp macro="" textlink="">
      <xdr:nvSpPr>
        <xdr:cNvPr id="2128" name="AutoShape 80" descr="Inoui">
          <a:extLst>
            <a:ext uri="{FF2B5EF4-FFF2-40B4-BE49-F238E27FC236}">
              <a16:creationId xmlns:a16="http://schemas.microsoft.com/office/drawing/2014/main" id="{EEE01553-922E-8554-98C9-DA3BC5B3889D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16294</xdr:rowOff>
    </xdr:to>
    <xdr:sp macro="" textlink="">
      <xdr:nvSpPr>
        <xdr:cNvPr id="2129" name="AutoShape 81" descr="Lyria">
          <a:extLst>
            <a:ext uri="{FF2B5EF4-FFF2-40B4-BE49-F238E27FC236}">
              <a16:creationId xmlns:a16="http://schemas.microsoft.com/office/drawing/2014/main" id="{A09B47B7-1E5F-2496-49CF-BD0523533B12}"/>
            </a:ext>
          </a:extLst>
        </xdr:cNvPr>
        <xdr:cNvSpPr>
          <a:spLocks noChangeAspect="1" noChangeArrowheads="1"/>
        </xdr:cNvSpPr>
      </xdr:nvSpPr>
      <xdr:spPr bwMode="auto">
        <a:xfrm>
          <a:off x="0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16294</xdr:rowOff>
    </xdr:to>
    <xdr:sp macro="" textlink="">
      <xdr:nvSpPr>
        <xdr:cNvPr id="2130" name="AutoShape 82" descr="Inoui">
          <a:extLst>
            <a:ext uri="{FF2B5EF4-FFF2-40B4-BE49-F238E27FC236}">
              <a16:creationId xmlns:a16="http://schemas.microsoft.com/office/drawing/2014/main" id="{BAF094D0-7B4F-A11E-81CE-1DE0AA41C998}"/>
            </a:ext>
          </a:extLst>
        </xdr:cNvPr>
        <xdr:cNvSpPr>
          <a:spLocks noChangeAspect="1" noChangeArrowheads="1"/>
        </xdr:cNvSpPr>
      </xdr:nvSpPr>
      <xdr:spPr bwMode="auto">
        <a:xfrm>
          <a:off x="0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25752</xdr:rowOff>
    </xdr:to>
    <xdr:sp macro="" textlink="">
      <xdr:nvSpPr>
        <xdr:cNvPr id="2131" name="AutoShape 83" descr="Lyria">
          <a:extLst>
            <a:ext uri="{FF2B5EF4-FFF2-40B4-BE49-F238E27FC236}">
              <a16:creationId xmlns:a16="http://schemas.microsoft.com/office/drawing/2014/main" id="{D437BF45-C566-D0CF-8D4B-55AA38CB3CA9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16294</xdr:rowOff>
    </xdr:to>
    <xdr:sp macro="" textlink="">
      <xdr:nvSpPr>
        <xdr:cNvPr id="2132" name="AutoShape 84" descr="Inoui">
          <a:extLst>
            <a:ext uri="{FF2B5EF4-FFF2-40B4-BE49-F238E27FC236}">
              <a16:creationId xmlns:a16="http://schemas.microsoft.com/office/drawing/2014/main" id="{C63B69B7-EE37-DBDD-494C-B61F1825E840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16294</xdr:rowOff>
    </xdr:to>
    <xdr:sp macro="" textlink="">
      <xdr:nvSpPr>
        <xdr:cNvPr id="2133" name="AutoShape 85" descr="Lyria">
          <a:extLst>
            <a:ext uri="{FF2B5EF4-FFF2-40B4-BE49-F238E27FC236}">
              <a16:creationId xmlns:a16="http://schemas.microsoft.com/office/drawing/2014/main" id="{1F2C880A-2422-AF92-8CA1-BC77939DE26A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16295</xdr:rowOff>
    </xdr:to>
    <xdr:sp macro="" textlink="">
      <xdr:nvSpPr>
        <xdr:cNvPr id="2134" name="AutoShape 86" descr="Inoui">
          <a:extLst>
            <a:ext uri="{FF2B5EF4-FFF2-40B4-BE49-F238E27FC236}">
              <a16:creationId xmlns:a16="http://schemas.microsoft.com/office/drawing/2014/main" id="{8C46CB88-61E4-E36B-DAA0-9A7D7FAD91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16295</xdr:rowOff>
    </xdr:to>
    <xdr:sp macro="" textlink="">
      <xdr:nvSpPr>
        <xdr:cNvPr id="2135" name="AutoShape 87" descr="Inoui">
          <a:extLst>
            <a:ext uri="{FF2B5EF4-FFF2-40B4-BE49-F238E27FC236}">
              <a16:creationId xmlns:a16="http://schemas.microsoft.com/office/drawing/2014/main" id="{A4CEE3CF-0236-CAB3-D0DF-6CD5B7DC8767}"/>
            </a:ext>
          </a:extLst>
        </xdr:cNvPr>
        <xdr:cNvSpPr>
          <a:spLocks noChangeAspect="1" noChangeArrowheads="1"/>
        </xdr:cNvSpPr>
      </xdr:nvSpPr>
      <xdr:spPr bwMode="auto">
        <a:xfrm>
          <a:off x="0" y="23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16296</xdr:rowOff>
    </xdr:to>
    <xdr:sp macro="" textlink="">
      <xdr:nvSpPr>
        <xdr:cNvPr id="2136" name="AutoShape 88" descr="Inoui">
          <a:extLst>
            <a:ext uri="{FF2B5EF4-FFF2-40B4-BE49-F238E27FC236}">
              <a16:creationId xmlns:a16="http://schemas.microsoft.com/office/drawing/2014/main" id="{50756356-F9A6-BBA1-CFBC-7A8B4A8EFEA8}"/>
            </a:ext>
          </a:extLst>
        </xdr:cNvPr>
        <xdr:cNvSpPr>
          <a:spLocks noChangeAspect="1" noChangeArrowheads="1"/>
        </xdr:cNvSpPr>
      </xdr:nvSpPr>
      <xdr:spPr bwMode="auto">
        <a:xfrm>
          <a:off x="0" y="246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217995</xdr:colOff>
      <xdr:row>8</xdr:row>
      <xdr:rowOff>137344</xdr:rowOff>
    </xdr:from>
    <xdr:to>
      <xdr:col>13</xdr:col>
      <xdr:colOff>266438</xdr:colOff>
      <xdr:row>18</xdr:row>
      <xdr:rowOff>120569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A47F06-C01D-403B-FCED-1B365C701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379992</xdr:colOff>
      <xdr:row>39</xdr:row>
      <xdr:rowOff>69750</xdr:rowOff>
    </xdr:from>
    <xdr:to>
      <xdr:col>24</xdr:col>
      <xdr:colOff>355802</xdr:colOff>
      <xdr:row>54</xdr:row>
      <xdr:rowOff>91521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77C0D4A-9CD1-CE5F-F79B-737CC5DE1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129592</xdr:colOff>
      <xdr:row>16</xdr:row>
      <xdr:rowOff>77756</xdr:rowOff>
    </xdr:from>
    <xdr:to>
      <xdr:col>26</xdr:col>
      <xdr:colOff>105402</xdr:colOff>
      <xdr:row>31</xdr:row>
      <xdr:rowOff>99527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9362C3A-8668-44D1-BFD8-638614F00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18814</xdr:colOff>
      <xdr:row>0</xdr:row>
      <xdr:rowOff>0</xdr:rowOff>
    </xdr:from>
    <xdr:to>
      <xdr:col>25</xdr:col>
      <xdr:colOff>105834</xdr:colOff>
      <xdr:row>49</xdr:row>
      <xdr:rowOff>47038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D817261-07A2-9614-DCB5-E5CEA1F1E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24517</xdr:colOff>
      <xdr:row>0</xdr:row>
      <xdr:rowOff>0</xdr:rowOff>
    </xdr:from>
    <xdr:to>
      <xdr:col>19</xdr:col>
      <xdr:colOff>433812</xdr:colOff>
      <xdr:row>23</xdr:row>
      <xdr:rowOff>163465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BC72936-956D-8BFB-F759-23BC1A246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2A6A-0CC9-44D7-A1C0-0F8544BC3DD8}">
  <sheetPr codeName="Feuil1"/>
  <dimension ref="A1:W66"/>
  <sheetViews>
    <sheetView zoomScale="55" zoomScaleNormal="130" workbookViewId="0">
      <selection activeCell="A17" sqref="A17"/>
    </sheetView>
  </sheetViews>
  <sheetFormatPr baseColWidth="10" defaultRowHeight="14.5" x14ac:dyDescent="0.35"/>
  <cols>
    <col min="1" max="1" width="11" bestFit="1" customWidth="1"/>
    <col min="2" max="2" width="13.6328125" style="7" customWidth="1"/>
    <col min="3" max="3" width="34.54296875" style="7" bestFit="1" customWidth="1"/>
    <col min="5" max="5" width="22.26953125" bestFit="1" customWidth="1"/>
    <col min="6" max="6" width="11.81640625" bestFit="1" customWidth="1"/>
    <col min="7" max="7" width="34" bestFit="1" customWidth="1"/>
    <col min="17" max="17" width="19.36328125" bestFit="1" customWidth="1"/>
    <col min="18" max="18" width="20.81640625" customWidth="1"/>
    <col min="19" max="19" width="10.453125" customWidth="1"/>
    <col min="20" max="20" width="9.26953125" bestFit="1" customWidth="1"/>
  </cols>
  <sheetData>
    <row r="1" spans="1:23" x14ac:dyDescent="0.35">
      <c r="A1" s="151" t="s">
        <v>13</v>
      </c>
      <c r="B1" s="151"/>
      <c r="C1" s="151"/>
      <c r="E1" s="151" t="s">
        <v>14</v>
      </c>
      <c r="F1" s="151"/>
      <c r="G1" s="151"/>
      <c r="M1" t="s">
        <v>29</v>
      </c>
      <c r="N1" t="s">
        <v>30</v>
      </c>
    </row>
    <row r="2" spans="1:23" x14ac:dyDescent="0.35">
      <c r="A2" s="1" t="s">
        <v>0</v>
      </c>
      <c r="B2" s="4" t="s">
        <v>10</v>
      </c>
      <c r="C2" s="4" t="s">
        <v>12</v>
      </c>
      <c r="E2" s="3" t="s">
        <v>8</v>
      </c>
      <c r="F2" s="6" t="s">
        <v>25</v>
      </c>
      <c r="G2" s="6"/>
      <c r="K2" t="s">
        <v>28</v>
      </c>
      <c r="L2" t="s">
        <v>32</v>
      </c>
      <c r="M2">
        <v>30</v>
      </c>
      <c r="N2">
        <v>27</v>
      </c>
    </row>
    <row r="3" spans="1:23" x14ac:dyDescent="0.35">
      <c r="A3" s="13" t="s">
        <v>1</v>
      </c>
      <c r="B3" s="14" t="s">
        <v>10</v>
      </c>
      <c r="C3" s="14" t="s">
        <v>27</v>
      </c>
      <c r="E3" s="10" t="s">
        <v>22</v>
      </c>
      <c r="F3" s="6" t="s">
        <v>25</v>
      </c>
      <c r="G3" s="6"/>
      <c r="K3" t="s">
        <v>31</v>
      </c>
      <c r="L3" t="s">
        <v>28</v>
      </c>
      <c r="M3">
        <v>30</v>
      </c>
      <c r="N3">
        <v>26</v>
      </c>
      <c r="Q3" s="19"/>
      <c r="R3" s="19"/>
      <c r="S3" s="19"/>
      <c r="T3" s="20"/>
    </row>
    <row r="4" spans="1:23" ht="16" customHeight="1" x14ac:dyDescent="0.35">
      <c r="A4" s="2" t="s">
        <v>2</v>
      </c>
      <c r="B4" s="5" t="s">
        <v>10</v>
      </c>
      <c r="C4" s="5"/>
      <c r="E4" s="3" t="s">
        <v>15</v>
      </c>
      <c r="F4" s="6" t="s">
        <v>25</v>
      </c>
      <c r="G4" s="6"/>
      <c r="K4" s="9" t="s">
        <v>28</v>
      </c>
      <c r="L4" s="9" t="s">
        <v>7</v>
      </c>
      <c r="M4" s="9">
        <v>21</v>
      </c>
      <c r="N4" s="9">
        <v>32</v>
      </c>
      <c r="Q4" s="19"/>
      <c r="R4" s="19"/>
      <c r="S4" s="19"/>
      <c r="T4" s="19"/>
      <c r="U4" s="19"/>
      <c r="V4" s="19"/>
    </row>
    <row r="5" spans="1:23" x14ac:dyDescent="0.35">
      <c r="A5" s="2" t="s">
        <v>3</v>
      </c>
      <c r="B5" s="5" t="s">
        <v>10</v>
      </c>
      <c r="C5" s="5"/>
      <c r="E5" s="9" t="s">
        <v>16</v>
      </c>
      <c r="F5" s="8"/>
      <c r="G5" s="8"/>
      <c r="K5" s="9" t="s">
        <v>7</v>
      </c>
      <c r="L5" s="9" t="s">
        <v>28</v>
      </c>
      <c r="M5" s="9">
        <v>19</v>
      </c>
      <c r="N5" s="9">
        <v>27</v>
      </c>
      <c r="Q5" s="19"/>
      <c r="R5" s="19"/>
      <c r="S5" s="19"/>
      <c r="T5" s="19"/>
      <c r="U5" s="19"/>
      <c r="V5" s="19"/>
    </row>
    <row r="6" spans="1:23" x14ac:dyDescent="0.35">
      <c r="A6" s="1" t="s">
        <v>4</v>
      </c>
      <c r="B6" s="4" t="s">
        <v>10</v>
      </c>
      <c r="C6" s="4" t="s">
        <v>12</v>
      </c>
      <c r="E6" s="9" t="s">
        <v>17</v>
      </c>
      <c r="F6" s="8"/>
      <c r="G6" s="8"/>
      <c r="Q6" s="19"/>
      <c r="R6" s="19"/>
      <c r="S6" s="19"/>
      <c r="T6" s="19"/>
      <c r="U6" s="19"/>
      <c r="V6" s="19"/>
    </row>
    <row r="7" spans="1:23" ht="16" customHeight="1" x14ac:dyDescent="0.35">
      <c r="A7" s="2" t="s">
        <v>11</v>
      </c>
      <c r="B7" s="5" t="s">
        <v>10</v>
      </c>
      <c r="C7" s="5"/>
      <c r="E7" s="9" t="s">
        <v>18</v>
      </c>
      <c r="F7" s="8"/>
      <c r="G7" s="8"/>
      <c r="Q7" s="19">
        <v>2015</v>
      </c>
      <c r="R7" s="16">
        <v>5017072</v>
      </c>
      <c r="S7" s="19"/>
      <c r="T7" s="19"/>
      <c r="U7" s="19"/>
      <c r="V7" s="19"/>
    </row>
    <row r="8" spans="1:23" ht="16" customHeight="1" x14ac:dyDescent="0.35">
      <c r="A8" s="2" t="s">
        <v>5</v>
      </c>
      <c r="B8" s="5" t="s">
        <v>10</v>
      </c>
      <c r="C8" s="5"/>
      <c r="E8" s="9" t="s">
        <v>19</v>
      </c>
      <c r="F8" s="8"/>
      <c r="G8" s="8"/>
      <c r="Q8" s="19">
        <v>2016</v>
      </c>
      <c r="R8" s="16">
        <v>4946420</v>
      </c>
      <c r="S8" s="19"/>
      <c r="T8" s="19"/>
      <c r="U8" s="19"/>
      <c r="V8" s="19"/>
    </row>
    <row r="9" spans="1:23" ht="16" customHeight="1" x14ac:dyDescent="0.35">
      <c r="A9" s="2" t="s">
        <v>6</v>
      </c>
      <c r="B9" s="5" t="s">
        <v>10</v>
      </c>
      <c r="C9" s="5"/>
      <c r="E9" s="11" t="s">
        <v>20</v>
      </c>
      <c r="F9" s="12" t="s">
        <v>25</v>
      </c>
      <c r="G9" s="12" t="s">
        <v>26</v>
      </c>
      <c r="Q9" s="19">
        <v>2017</v>
      </c>
      <c r="R9" s="16">
        <v>5055333</v>
      </c>
      <c r="S9" s="19"/>
      <c r="T9" s="19"/>
      <c r="U9" s="19"/>
      <c r="V9" s="19"/>
    </row>
    <row r="10" spans="1:23" ht="16" customHeight="1" x14ac:dyDescent="0.35">
      <c r="A10" s="2" t="s">
        <v>7</v>
      </c>
      <c r="B10" s="5" t="s">
        <v>10</v>
      </c>
      <c r="C10" s="5"/>
      <c r="E10" s="3" t="s">
        <v>21</v>
      </c>
      <c r="F10" s="6" t="s">
        <v>25</v>
      </c>
      <c r="G10" s="6"/>
      <c r="Q10" s="19">
        <v>2018</v>
      </c>
      <c r="R10" s="16">
        <v>5174727</v>
      </c>
      <c r="S10" s="19"/>
      <c r="T10" s="19"/>
      <c r="U10" s="19"/>
      <c r="V10" s="19"/>
    </row>
    <row r="11" spans="1:23" ht="16" customHeight="1" x14ac:dyDescent="0.35">
      <c r="A11" s="3" t="s">
        <v>8</v>
      </c>
      <c r="B11" s="6"/>
      <c r="C11" s="6"/>
      <c r="E11" s="9" t="s">
        <v>23</v>
      </c>
      <c r="F11" s="8"/>
      <c r="G11" s="8"/>
      <c r="Q11" s="19">
        <v>2019</v>
      </c>
      <c r="R11" s="16">
        <v>5320370</v>
      </c>
      <c r="S11" s="19"/>
      <c r="T11" s="19"/>
      <c r="U11" s="19"/>
      <c r="V11" s="19"/>
    </row>
    <row r="12" spans="1:23" x14ac:dyDescent="0.35">
      <c r="A12" s="3" t="s">
        <v>9</v>
      </c>
      <c r="B12" s="6"/>
      <c r="C12" s="6"/>
      <c r="E12" s="11" t="s">
        <v>24</v>
      </c>
      <c r="F12" s="12" t="s">
        <v>25</v>
      </c>
      <c r="G12" s="12" t="s">
        <v>26</v>
      </c>
      <c r="Q12" s="19">
        <v>2020</v>
      </c>
      <c r="R12" s="16">
        <v>3408899</v>
      </c>
      <c r="S12" s="19"/>
      <c r="T12" s="19"/>
      <c r="U12" s="19"/>
      <c r="V12" s="19"/>
    </row>
    <row r="13" spans="1:23" ht="16" customHeight="1" x14ac:dyDescent="0.35">
      <c r="K13" s="17"/>
      <c r="L13" s="16"/>
      <c r="Q13" s="19">
        <v>2021</v>
      </c>
      <c r="R13" s="16">
        <v>4074689</v>
      </c>
      <c r="S13" s="19"/>
      <c r="T13" s="19"/>
      <c r="U13" s="19"/>
      <c r="V13" s="19"/>
    </row>
    <row r="14" spans="1:23" ht="24.5" customHeight="1" x14ac:dyDescent="0.35">
      <c r="K14" s="17"/>
      <c r="L14" s="16"/>
      <c r="M14" s="18"/>
      <c r="N14" s="18"/>
      <c r="Q14" s="19">
        <v>2022</v>
      </c>
      <c r="R14" s="16">
        <v>5056324</v>
      </c>
      <c r="S14" s="19"/>
      <c r="T14" s="19"/>
      <c r="U14" s="19"/>
      <c r="V14" s="19"/>
    </row>
    <row r="15" spans="1:23" ht="23.5" customHeight="1" x14ac:dyDescent="0.35">
      <c r="K15" s="17"/>
      <c r="L15" s="16"/>
      <c r="M15" s="18"/>
      <c r="N15" s="18"/>
      <c r="Q15" s="19">
        <v>2023</v>
      </c>
      <c r="R15" s="16">
        <v>5637668</v>
      </c>
      <c r="S15" s="19"/>
      <c r="T15" s="19"/>
      <c r="U15" s="19"/>
      <c r="V15" s="19"/>
    </row>
    <row r="16" spans="1:23" x14ac:dyDescent="0.35">
      <c r="K16" s="17"/>
      <c r="L16" s="16"/>
      <c r="M16" s="18"/>
      <c r="N16" s="18"/>
      <c r="Q16" s="19">
        <v>2024</v>
      </c>
      <c r="R16" s="16">
        <v>5702065</v>
      </c>
      <c r="S16" s="19"/>
      <c r="T16" s="19"/>
      <c r="U16" s="19"/>
      <c r="V16" s="19"/>
      <c r="W16" s="15"/>
    </row>
    <row r="17" spans="11:22" ht="16" customHeight="1" x14ac:dyDescent="0.35">
      <c r="K17" s="17"/>
      <c r="L17" s="16"/>
      <c r="M17" s="18"/>
      <c r="N17" s="18"/>
      <c r="Q17" s="19"/>
      <c r="R17" s="19"/>
      <c r="S17" s="19"/>
      <c r="T17" s="19"/>
      <c r="U17" s="19"/>
      <c r="V17" s="19"/>
    </row>
    <row r="18" spans="11:22" ht="16" customHeight="1" x14ac:dyDescent="0.35">
      <c r="K18" s="17"/>
      <c r="L18" s="16"/>
      <c r="M18" s="18"/>
      <c r="N18" s="18"/>
      <c r="Q18" s="19"/>
      <c r="R18" s="19"/>
      <c r="S18" s="19"/>
      <c r="T18" s="19"/>
      <c r="U18" s="19"/>
      <c r="V18" s="19"/>
    </row>
    <row r="19" spans="11:22" ht="16" customHeight="1" x14ac:dyDescent="0.35">
      <c r="K19" s="17"/>
      <c r="L19" s="16"/>
      <c r="M19" s="18"/>
      <c r="N19" s="18"/>
      <c r="Q19" s="19"/>
      <c r="R19" s="19"/>
      <c r="S19" s="19"/>
      <c r="T19" s="19"/>
      <c r="U19" s="19"/>
      <c r="V19" s="19"/>
    </row>
    <row r="20" spans="11:22" ht="16.5" customHeight="1" x14ac:dyDescent="0.35">
      <c r="K20" s="17"/>
      <c r="L20" s="16"/>
      <c r="M20" s="18"/>
      <c r="N20" s="18"/>
      <c r="Q20" s="19"/>
      <c r="R20" s="19"/>
      <c r="S20" s="19"/>
      <c r="T20" s="19"/>
      <c r="U20" s="19"/>
      <c r="V20" s="19"/>
    </row>
    <row r="21" spans="11:22" ht="16" customHeight="1" x14ac:dyDescent="0.35">
      <c r="K21" s="17"/>
      <c r="L21" s="16"/>
      <c r="M21" s="18"/>
      <c r="N21" s="18"/>
      <c r="Q21" s="19"/>
      <c r="R21" s="19"/>
      <c r="S21" s="19"/>
      <c r="T21" s="19"/>
      <c r="U21" s="19"/>
      <c r="V21" s="19"/>
    </row>
    <row r="22" spans="11:22" x14ac:dyDescent="0.35">
      <c r="K22" s="17"/>
      <c r="L22" s="16"/>
      <c r="M22" s="18"/>
      <c r="N22" s="18"/>
      <c r="Q22" s="19"/>
      <c r="R22" s="19"/>
      <c r="S22" s="19"/>
      <c r="T22" s="19"/>
      <c r="U22" s="19"/>
      <c r="V22" s="19"/>
    </row>
    <row r="23" spans="11:22" ht="16" customHeight="1" x14ac:dyDescent="0.35">
      <c r="K23" s="17"/>
      <c r="L23" s="17"/>
      <c r="Q23" s="19"/>
      <c r="R23" s="19"/>
      <c r="S23" s="19"/>
      <c r="T23" s="19"/>
      <c r="U23" s="19"/>
      <c r="V23" s="19"/>
    </row>
    <row r="24" spans="11:22" ht="24" customHeight="1" x14ac:dyDescent="0.35">
      <c r="Q24" s="19"/>
      <c r="R24" s="19"/>
      <c r="S24" s="19"/>
      <c r="T24" s="19"/>
      <c r="U24" s="19"/>
      <c r="V24" s="19"/>
    </row>
    <row r="25" spans="11:22" x14ac:dyDescent="0.35">
      <c r="Q25" s="19"/>
      <c r="R25" s="19"/>
      <c r="S25" s="19"/>
      <c r="T25" s="19"/>
      <c r="U25" s="19"/>
      <c r="V25" s="19"/>
    </row>
    <row r="26" spans="11:22" x14ac:dyDescent="0.35">
      <c r="Q26" s="19"/>
      <c r="R26" s="19"/>
      <c r="S26" s="19"/>
      <c r="T26" s="19"/>
      <c r="U26" s="19"/>
      <c r="V26" s="19"/>
    </row>
    <row r="27" spans="11:22" ht="24.5" customHeight="1" x14ac:dyDescent="0.35">
      <c r="Q27" s="19"/>
      <c r="R27" s="19"/>
      <c r="S27" s="19"/>
      <c r="T27" s="19"/>
      <c r="U27" s="19"/>
      <c r="V27" s="19"/>
    </row>
    <row r="28" spans="11:22" x14ac:dyDescent="0.35">
      <c r="Q28" s="19"/>
      <c r="R28" s="19"/>
      <c r="S28" s="19"/>
      <c r="T28" s="19"/>
      <c r="U28" s="19"/>
      <c r="V28" s="19"/>
    </row>
    <row r="29" spans="11:22" x14ac:dyDescent="0.35">
      <c r="Q29" s="19"/>
      <c r="R29" s="19"/>
      <c r="S29" s="19"/>
      <c r="T29" s="19"/>
      <c r="U29" s="19"/>
      <c r="V29" s="19"/>
    </row>
    <row r="30" spans="11:22" ht="14.5" customHeight="1" x14ac:dyDescent="0.35">
      <c r="Q30" s="19"/>
      <c r="R30" s="19"/>
      <c r="S30" s="19"/>
      <c r="T30" s="19"/>
      <c r="U30" s="19"/>
      <c r="V30" s="19"/>
    </row>
    <row r="31" spans="11:22" ht="16" customHeight="1" x14ac:dyDescent="0.35">
      <c r="Q31" s="19"/>
      <c r="R31" s="19"/>
      <c r="S31" s="19"/>
      <c r="T31" s="19"/>
      <c r="U31" s="19"/>
      <c r="V31" s="19"/>
    </row>
    <row r="32" spans="11:22" ht="16" customHeight="1" x14ac:dyDescent="0.35">
      <c r="Q32" s="19"/>
      <c r="R32" s="19"/>
      <c r="S32" s="19"/>
      <c r="T32" s="19"/>
      <c r="U32" s="19"/>
      <c r="V32" s="19"/>
    </row>
    <row r="33" spans="17:22" ht="24.5" customHeight="1" x14ac:dyDescent="0.35">
      <c r="Q33" s="19"/>
      <c r="R33" s="19"/>
      <c r="S33" s="19"/>
      <c r="T33" s="19"/>
      <c r="U33" s="19"/>
      <c r="V33" s="19"/>
    </row>
    <row r="34" spans="17:22" ht="16" customHeight="1" x14ac:dyDescent="0.35">
      <c r="Q34" s="19"/>
      <c r="R34" s="19"/>
      <c r="S34" s="19"/>
      <c r="T34" s="19"/>
      <c r="U34" s="19"/>
      <c r="V34" s="19"/>
    </row>
    <row r="35" spans="17:22" ht="24.5" customHeight="1" x14ac:dyDescent="0.35">
      <c r="Q35" s="19"/>
      <c r="R35" s="19"/>
      <c r="S35" s="19"/>
      <c r="T35" s="19"/>
      <c r="U35" s="19"/>
      <c r="V35" s="19"/>
    </row>
    <row r="36" spans="17:22" ht="16" customHeight="1" x14ac:dyDescent="0.35">
      <c r="Q36" s="19"/>
      <c r="R36" s="19"/>
      <c r="S36" s="19"/>
      <c r="T36" s="19"/>
      <c r="U36" s="19"/>
      <c r="V36" s="19"/>
    </row>
    <row r="37" spans="17:22" ht="24" customHeight="1" x14ac:dyDescent="0.35">
      <c r="Q37" s="19"/>
      <c r="R37" s="19"/>
      <c r="S37" s="19"/>
      <c r="T37" s="19"/>
      <c r="U37" s="19"/>
      <c r="V37" s="19"/>
    </row>
    <row r="38" spans="17:22" ht="16" customHeight="1" x14ac:dyDescent="0.35">
      <c r="Q38" s="19"/>
      <c r="R38" s="19"/>
      <c r="S38" s="19"/>
      <c r="T38" s="19"/>
      <c r="U38" s="19"/>
      <c r="V38" s="19"/>
    </row>
    <row r="39" spans="17:22" ht="24.5" customHeight="1" x14ac:dyDescent="0.35">
      <c r="Q39" s="19"/>
      <c r="R39" s="19"/>
      <c r="S39" s="19"/>
      <c r="T39" s="19"/>
      <c r="U39" s="19"/>
      <c r="V39" s="19"/>
    </row>
    <row r="40" spans="17:22" ht="24" customHeight="1" x14ac:dyDescent="0.35">
      <c r="Q40" s="19"/>
      <c r="R40" s="19"/>
      <c r="S40" s="19"/>
      <c r="T40" s="19"/>
      <c r="U40" s="19"/>
      <c r="V40" s="19"/>
    </row>
    <row r="41" spans="17:22" ht="16" customHeight="1" x14ac:dyDescent="0.35">
      <c r="Q41" s="19"/>
      <c r="R41" s="19"/>
      <c r="S41" s="19"/>
      <c r="T41" s="19"/>
      <c r="U41" s="19"/>
      <c r="V41" s="19"/>
    </row>
    <row r="42" spans="17:22" ht="16" customHeight="1" x14ac:dyDescent="0.35">
      <c r="Q42" s="19"/>
      <c r="R42" s="19"/>
      <c r="S42" s="19"/>
      <c r="T42" s="19"/>
      <c r="U42" s="19"/>
      <c r="V42" s="19"/>
    </row>
    <row r="43" spans="17:22" ht="16" customHeight="1" x14ac:dyDescent="0.35">
      <c r="Q43" s="19"/>
      <c r="R43" s="19"/>
      <c r="S43" s="19"/>
      <c r="T43" s="19"/>
      <c r="U43" s="19"/>
      <c r="V43" s="19"/>
    </row>
    <row r="44" spans="17:22" ht="24.5" customHeight="1" x14ac:dyDescent="0.35">
      <c r="Q44" s="19"/>
      <c r="R44" s="19"/>
      <c r="S44" s="19"/>
      <c r="T44" s="19"/>
      <c r="U44" s="19"/>
      <c r="V44" s="19"/>
    </row>
    <row r="45" spans="17:22" ht="16" customHeight="1" x14ac:dyDescent="0.35">
      <c r="Q45" s="19"/>
      <c r="R45" s="19"/>
      <c r="S45" s="19"/>
      <c r="T45" s="19"/>
      <c r="U45" s="19"/>
      <c r="V45" s="19"/>
    </row>
    <row r="46" spans="17:22" x14ac:dyDescent="0.35">
      <c r="Q46" s="19"/>
      <c r="R46" s="19"/>
      <c r="S46" s="19"/>
      <c r="T46" s="19"/>
      <c r="U46" s="19"/>
      <c r="V46" s="19"/>
    </row>
    <row r="47" spans="17:22" ht="16" customHeight="1" x14ac:dyDescent="0.35">
      <c r="Q47" s="19"/>
      <c r="R47" s="19"/>
      <c r="S47" s="19"/>
      <c r="T47" s="19"/>
      <c r="U47" s="19"/>
      <c r="V47" s="19"/>
    </row>
    <row r="48" spans="17:22" ht="24" customHeight="1" x14ac:dyDescent="0.35">
      <c r="Q48" s="19"/>
      <c r="R48" s="19"/>
      <c r="S48" s="19"/>
      <c r="T48" s="19"/>
      <c r="U48" s="19"/>
      <c r="V48" s="19"/>
    </row>
    <row r="49" spans="17:22" x14ac:dyDescent="0.35">
      <c r="Q49" s="19"/>
      <c r="R49" s="19"/>
      <c r="S49" s="19"/>
      <c r="T49" s="19"/>
      <c r="U49" s="19"/>
      <c r="V49" s="19"/>
    </row>
    <row r="50" spans="17:22" ht="16" customHeight="1" x14ac:dyDescent="0.35">
      <c r="Q50" s="19"/>
      <c r="R50" s="19"/>
      <c r="S50" s="19"/>
      <c r="T50" s="19"/>
      <c r="U50" s="19"/>
      <c r="V50" s="19"/>
    </row>
    <row r="51" spans="17:22" ht="16" customHeight="1" x14ac:dyDescent="0.35">
      <c r="Q51" s="19"/>
      <c r="R51" s="19"/>
      <c r="S51" s="19"/>
      <c r="T51" s="19"/>
      <c r="U51" s="19"/>
      <c r="V51" s="19"/>
    </row>
    <row r="52" spans="17:22" ht="16" customHeight="1" x14ac:dyDescent="0.35">
      <c r="Q52" s="19"/>
      <c r="R52" s="19"/>
      <c r="S52" s="19"/>
      <c r="T52" s="19"/>
      <c r="U52" s="19"/>
      <c r="V52" s="19"/>
    </row>
    <row r="53" spans="17:22" ht="16" customHeight="1" x14ac:dyDescent="0.35">
      <c r="Q53" s="19"/>
      <c r="R53" s="19"/>
      <c r="S53" s="19"/>
      <c r="T53" s="19"/>
      <c r="U53" s="19"/>
      <c r="V53" s="19"/>
    </row>
    <row r="54" spans="17:22" ht="16" customHeight="1" x14ac:dyDescent="0.35">
      <c r="Q54" s="19"/>
      <c r="R54" s="19"/>
      <c r="S54" s="19"/>
      <c r="T54" s="19"/>
      <c r="U54" s="19"/>
      <c r="V54" s="19"/>
    </row>
    <row r="55" spans="17:22" ht="16" customHeight="1" x14ac:dyDescent="0.35">
      <c r="Q55" s="19"/>
      <c r="R55" s="19"/>
      <c r="S55" s="19"/>
      <c r="T55" s="19"/>
      <c r="U55" s="19"/>
      <c r="V55" s="19"/>
    </row>
    <row r="56" spans="17:22" ht="16" customHeight="1" x14ac:dyDescent="0.35">
      <c r="Q56" s="19"/>
      <c r="R56" s="19"/>
      <c r="S56" s="19"/>
      <c r="T56" s="19"/>
      <c r="U56" s="19"/>
      <c r="V56" s="19"/>
    </row>
    <row r="57" spans="17:22" x14ac:dyDescent="0.35">
      <c r="Q57" s="19"/>
      <c r="R57" s="19"/>
      <c r="S57" s="19"/>
      <c r="T57" s="19"/>
      <c r="U57" s="19"/>
      <c r="V57" s="19"/>
    </row>
    <row r="58" spans="17:22" x14ac:dyDescent="0.35">
      <c r="Q58" s="19"/>
      <c r="R58" s="19"/>
      <c r="S58" s="19"/>
      <c r="T58" s="19"/>
      <c r="U58" s="19"/>
      <c r="V58" s="19"/>
    </row>
    <row r="59" spans="17:22" x14ac:dyDescent="0.35">
      <c r="R59" s="19"/>
      <c r="S59" s="19"/>
      <c r="T59" s="19"/>
      <c r="U59" s="19"/>
      <c r="V59" s="19"/>
    </row>
    <row r="60" spans="17:22" x14ac:dyDescent="0.35">
      <c r="R60" s="19"/>
      <c r="S60" s="19"/>
      <c r="T60" s="19"/>
      <c r="U60" s="19"/>
      <c r="V60" s="19"/>
    </row>
    <row r="61" spans="17:22" x14ac:dyDescent="0.35">
      <c r="R61" s="19"/>
      <c r="S61" s="19"/>
      <c r="T61" s="19"/>
      <c r="U61" s="19"/>
      <c r="V61" s="19"/>
    </row>
    <row r="62" spans="17:22" x14ac:dyDescent="0.35">
      <c r="R62" s="19"/>
      <c r="S62" s="19"/>
      <c r="T62" s="19"/>
      <c r="U62" s="19"/>
      <c r="V62" s="19"/>
    </row>
    <row r="63" spans="17:22" x14ac:dyDescent="0.35">
      <c r="R63" s="19"/>
      <c r="S63" s="19"/>
      <c r="T63" s="19"/>
      <c r="U63" s="19"/>
      <c r="V63" s="19"/>
    </row>
    <row r="64" spans="17:22" x14ac:dyDescent="0.35">
      <c r="R64" s="19"/>
      <c r="S64" s="19"/>
      <c r="T64" s="19"/>
      <c r="U64" s="19"/>
      <c r="V64" s="19"/>
    </row>
    <row r="65" spans="18:22" x14ac:dyDescent="0.35">
      <c r="R65" s="19"/>
      <c r="S65" s="19"/>
      <c r="T65" s="19"/>
      <c r="U65" s="19"/>
      <c r="V65" s="19"/>
    </row>
    <row r="66" spans="18:22" x14ac:dyDescent="0.35">
      <c r="R66" s="19"/>
      <c r="S66" s="19"/>
      <c r="T66" s="19"/>
      <c r="U66" s="19"/>
      <c r="V66" s="19"/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0D6C-ABB0-425B-8CA2-41F741210765}">
  <sheetPr codeName="Feuil2">
    <pageSetUpPr fitToPage="1"/>
  </sheetPr>
  <dimension ref="A1:N58"/>
  <sheetViews>
    <sheetView topLeftCell="A7" zoomScale="38" zoomScaleNormal="250" workbookViewId="0">
      <selection activeCell="V17" sqref="V17"/>
    </sheetView>
  </sheetViews>
  <sheetFormatPr baseColWidth="10" defaultRowHeight="21" x14ac:dyDescent="0.5"/>
  <cols>
    <col min="1" max="1" width="45.6328125" customWidth="1"/>
    <col min="2" max="2" width="8.1796875" customWidth="1"/>
    <col min="3" max="3" width="5.6328125" customWidth="1"/>
    <col min="4" max="5" width="15.6328125" style="7" customWidth="1"/>
    <col min="6" max="6" width="5.6328125" style="7" customWidth="1"/>
    <col min="7" max="8" width="15.6328125" style="7" customWidth="1"/>
    <col min="9" max="9" width="15.6328125" style="23" customWidth="1"/>
    <col min="10" max="10" width="14" bestFit="1" customWidth="1"/>
  </cols>
  <sheetData>
    <row r="1" spans="1:14" ht="22.5" x14ac:dyDescent="0.35">
      <c r="A1" s="165" t="s">
        <v>33</v>
      </c>
      <c r="B1" s="34"/>
      <c r="C1" s="34"/>
      <c r="D1" s="35" t="s">
        <v>34</v>
      </c>
      <c r="E1" s="35" t="s">
        <v>34</v>
      </c>
      <c r="F1" s="35"/>
      <c r="G1" s="35" t="s">
        <v>37</v>
      </c>
      <c r="H1" s="35" t="s">
        <v>37</v>
      </c>
      <c r="I1" s="170" t="s">
        <v>38</v>
      </c>
      <c r="J1" s="22"/>
    </row>
    <row r="2" spans="1:14" ht="23" thickBot="1" x14ac:dyDescent="0.4">
      <c r="A2" s="166"/>
      <c r="B2" s="36"/>
      <c r="C2" s="36"/>
      <c r="D2" s="37" t="s">
        <v>35</v>
      </c>
      <c r="E2" s="37" t="s">
        <v>36</v>
      </c>
      <c r="F2" s="37"/>
      <c r="G2" s="37" t="s">
        <v>35</v>
      </c>
      <c r="H2" s="37" t="s">
        <v>36</v>
      </c>
      <c r="I2" s="171"/>
      <c r="J2" s="22"/>
    </row>
    <row r="3" spans="1:14" ht="22.5" x14ac:dyDescent="0.35">
      <c r="A3" s="31" t="s">
        <v>39</v>
      </c>
      <c r="B3" s="172" t="e" vm="1">
        <v>#VALUE!</v>
      </c>
      <c r="C3" s="31"/>
      <c r="D3" s="162">
        <v>0.24027777777777778</v>
      </c>
      <c r="E3" s="167">
        <v>0.24722222222222223</v>
      </c>
      <c r="F3" s="38"/>
      <c r="G3" s="162">
        <v>0.36249999999999999</v>
      </c>
      <c r="H3" s="168">
        <v>0.36249999999999999</v>
      </c>
      <c r="I3" s="169" t="s">
        <v>41</v>
      </c>
      <c r="J3" s="22"/>
    </row>
    <row r="4" spans="1:14" ht="22.5" x14ac:dyDescent="0.35">
      <c r="A4" s="30" t="s">
        <v>40</v>
      </c>
      <c r="B4" s="163"/>
      <c r="C4" s="30"/>
      <c r="D4" s="153"/>
      <c r="E4" s="160"/>
      <c r="F4" s="32"/>
      <c r="G4" s="153"/>
      <c r="H4" s="161"/>
      <c r="I4" s="152"/>
      <c r="J4" s="22"/>
    </row>
    <row r="5" spans="1:14" ht="22.5" x14ac:dyDescent="0.35">
      <c r="A5" s="31" t="s">
        <v>39</v>
      </c>
      <c r="B5" s="163" t="e" vm="1">
        <v>#VALUE!</v>
      </c>
      <c r="C5" s="31"/>
      <c r="D5" s="153">
        <v>0.32361111111111113</v>
      </c>
      <c r="E5" s="160">
        <v>0.33055555555555555</v>
      </c>
      <c r="F5" s="32"/>
      <c r="G5" s="153">
        <v>0.44583333333333336</v>
      </c>
      <c r="H5" s="161">
        <v>0.44583333333333336</v>
      </c>
      <c r="I5" s="152" t="s">
        <v>41</v>
      </c>
      <c r="J5" s="22"/>
    </row>
    <row r="6" spans="1:14" ht="22.5" x14ac:dyDescent="0.35">
      <c r="A6" s="30" t="s">
        <v>42</v>
      </c>
      <c r="B6" s="163"/>
      <c r="C6" s="30"/>
      <c r="D6" s="153"/>
      <c r="E6" s="160"/>
      <c r="F6" s="32"/>
      <c r="G6" s="153"/>
      <c r="H6" s="161"/>
      <c r="I6" s="152"/>
      <c r="J6" s="22"/>
    </row>
    <row r="7" spans="1:14" ht="22.5" x14ac:dyDescent="0.35">
      <c r="A7" s="31" t="s">
        <v>43</v>
      </c>
      <c r="B7" s="163" t="e" vm="1">
        <v>#VALUE!</v>
      </c>
      <c r="C7" s="31"/>
      <c r="D7" s="153">
        <v>0.32777777777777778</v>
      </c>
      <c r="E7" s="32">
        <v>0.31666666666666665</v>
      </c>
      <c r="F7" s="32"/>
      <c r="G7" s="153">
        <v>0.53611111111111109</v>
      </c>
      <c r="H7" s="154">
        <v>0.51666666666666672</v>
      </c>
      <c r="I7" s="155" t="s">
        <v>45</v>
      </c>
      <c r="J7" s="22"/>
    </row>
    <row r="8" spans="1:14" s="24" customFormat="1" ht="10.5" x14ac:dyDescent="0.25">
      <c r="A8" s="30" t="s">
        <v>44</v>
      </c>
      <c r="B8" s="163"/>
      <c r="C8" s="30"/>
      <c r="D8" s="153"/>
      <c r="E8" s="33" t="s">
        <v>80</v>
      </c>
      <c r="F8" s="33"/>
      <c r="G8" s="153"/>
      <c r="H8" s="154"/>
      <c r="I8" s="155"/>
      <c r="J8" s="25"/>
    </row>
    <row r="9" spans="1:14" ht="22.5" x14ac:dyDescent="0.35">
      <c r="A9" s="31" t="s">
        <v>39</v>
      </c>
      <c r="B9" s="163" t="e" vm="2">
        <v>#VALUE!</v>
      </c>
      <c r="C9" s="31"/>
      <c r="D9" s="153">
        <v>0.37361111111111112</v>
      </c>
      <c r="E9" s="160">
        <v>0.38055555555555554</v>
      </c>
      <c r="F9" s="32"/>
      <c r="G9" s="153">
        <v>0.5</v>
      </c>
      <c r="H9" s="161">
        <v>0.5</v>
      </c>
      <c r="I9" s="152" t="s">
        <v>41</v>
      </c>
    </row>
    <row r="10" spans="1:14" s="24" customFormat="1" ht="22.5" x14ac:dyDescent="0.25">
      <c r="A10" s="30" t="s">
        <v>46</v>
      </c>
      <c r="B10" s="163"/>
      <c r="C10" s="30"/>
      <c r="D10" s="153"/>
      <c r="E10" s="160"/>
      <c r="F10" s="32"/>
      <c r="G10" s="153"/>
      <c r="H10" s="161"/>
      <c r="I10" s="152"/>
      <c r="N10" s="39"/>
    </row>
    <row r="11" spans="1:14" ht="22.5" x14ac:dyDescent="0.35">
      <c r="A11" s="31" t="s">
        <v>31</v>
      </c>
      <c r="B11" s="163" t="e" vm="1">
        <v>#VALUE!</v>
      </c>
      <c r="C11" s="31"/>
      <c r="D11" s="153">
        <v>0.37777777777777777</v>
      </c>
      <c r="E11" s="32">
        <v>0.36944444444444446</v>
      </c>
      <c r="F11" s="32"/>
      <c r="G11" s="153">
        <v>0.41388888888888886</v>
      </c>
      <c r="H11" s="154">
        <v>0.39583333333333331</v>
      </c>
      <c r="I11" s="155" t="s">
        <v>48</v>
      </c>
    </row>
    <row r="12" spans="1:14" s="24" customFormat="1" ht="10.5" x14ac:dyDescent="0.25">
      <c r="A12" s="30" t="s">
        <v>47</v>
      </c>
      <c r="B12" s="163"/>
      <c r="C12" s="30"/>
      <c r="D12" s="153"/>
      <c r="E12" s="33" t="s">
        <v>80</v>
      </c>
      <c r="F12" s="33"/>
      <c r="G12" s="153"/>
      <c r="H12" s="154"/>
      <c r="I12" s="155"/>
    </row>
    <row r="13" spans="1:14" ht="22.5" x14ac:dyDescent="0.35">
      <c r="A13" s="31" t="s">
        <v>49</v>
      </c>
      <c r="B13" s="163" t="e" vm="1">
        <v>#VALUE!</v>
      </c>
      <c r="C13" s="31"/>
      <c r="D13" s="153">
        <v>0.41388888888888886</v>
      </c>
      <c r="E13" s="32">
        <v>0.40277777777777779</v>
      </c>
      <c r="F13" s="32"/>
      <c r="G13" s="153">
        <v>0.62777777777777777</v>
      </c>
      <c r="H13" s="154">
        <v>0.60833333333333328</v>
      </c>
      <c r="I13" s="155" t="s">
        <v>45</v>
      </c>
    </row>
    <row r="14" spans="1:14" s="24" customFormat="1" ht="10.5" x14ac:dyDescent="0.25">
      <c r="A14" s="30" t="s">
        <v>50</v>
      </c>
      <c r="B14" s="163"/>
      <c r="C14" s="30"/>
      <c r="D14" s="153"/>
      <c r="E14" s="33" t="s">
        <v>80</v>
      </c>
      <c r="F14" s="33"/>
      <c r="G14" s="153"/>
      <c r="H14" s="154"/>
      <c r="I14" s="155"/>
    </row>
    <row r="15" spans="1:14" ht="22.5" x14ac:dyDescent="0.35">
      <c r="A15" s="31" t="s">
        <v>51</v>
      </c>
      <c r="B15" s="163" t="e" vm="2">
        <v>#VALUE!</v>
      </c>
      <c r="C15" s="31"/>
      <c r="D15" s="153">
        <v>0.42083333333333334</v>
      </c>
      <c r="E15" s="160">
        <v>0.41388888888888886</v>
      </c>
      <c r="F15" s="32"/>
      <c r="G15" s="153">
        <v>0.47638888888888886</v>
      </c>
      <c r="H15" s="154">
        <v>0.46944444444444444</v>
      </c>
      <c r="I15" s="152" t="s">
        <v>41</v>
      </c>
    </row>
    <row r="16" spans="1:14" s="24" customFormat="1" ht="22.5" x14ac:dyDescent="0.25">
      <c r="A16" s="30" t="s">
        <v>52</v>
      </c>
      <c r="B16" s="163"/>
      <c r="C16" s="30"/>
      <c r="D16" s="153"/>
      <c r="E16" s="160"/>
      <c r="F16" s="32"/>
      <c r="G16" s="153"/>
      <c r="H16" s="154"/>
      <c r="I16" s="152"/>
    </row>
    <row r="17" spans="1:9" ht="22.5" x14ac:dyDescent="0.35">
      <c r="A17" s="31" t="s">
        <v>53</v>
      </c>
      <c r="B17" s="163" t="e" vm="1">
        <v>#VALUE!</v>
      </c>
      <c r="C17" s="31"/>
      <c r="D17" s="153">
        <v>0.47499999999999998</v>
      </c>
      <c r="E17" s="32">
        <v>0.46666666666666667</v>
      </c>
      <c r="F17" s="32"/>
      <c r="G17" s="153">
        <v>0.59375</v>
      </c>
      <c r="H17" s="154">
        <v>0.5756944444444444</v>
      </c>
      <c r="I17" s="155" t="s">
        <v>48</v>
      </c>
    </row>
    <row r="18" spans="1:9" s="24" customFormat="1" ht="10.5" x14ac:dyDescent="0.25">
      <c r="A18" s="30" t="s">
        <v>54</v>
      </c>
      <c r="B18" s="163"/>
      <c r="C18" s="30"/>
      <c r="D18" s="153"/>
      <c r="E18" s="33" t="s">
        <v>80</v>
      </c>
      <c r="F18" s="33"/>
      <c r="G18" s="153"/>
      <c r="H18" s="154"/>
      <c r="I18" s="155"/>
    </row>
    <row r="19" spans="1:9" ht="22.5" x14ac:dyDescent="0.35">
      <c r="A19" s="31" t="s">
        <v>55</v>
      </c>
      <c r="B19" s="163" t="e" vm="1">
        <v>#VALUE!</v>
      </c>
      <c r="C19" s="31"/>
      <c r="D19" s="153">
        <v>0.53749999999999998</v>
      </c>
      <c r="E19" s="32">
        <v>0.52916666666666667</v>
      </c>
      <c r="F19" s="32"/>
      <c r="G19" s="153">
        <v>0.66666666666666663</v>
      </c>
      <c r="H19" s="154">
        <v>0.64861111111111114</v>
      </c>
      <c r="I19" s="155" t="s">
        <v>48</v>
      </c>
    </row>
    <row r="20" spans="1:9" s="24" customFormat="1" ht="10.5" x14ac:dyDescent="0.25">
      <c r="A20" s="30" t="s">
        <v>56</v>
      </c>
      <c r="B20" s="163"/>
      <c r="C20" s="30"/>
      <c r="D20" s="153"/>
      <c r="E20" s="33" t="s">
        <v>80</v>
      </c>
      <c r="F20" s="33"/>
      <c r="G20" s="153"/>
      <c r="H20" s="154"/>
      <c r="I20" s="155"/>
    </row>
    <row r="21" spans="1:9" ht="22.5" x14ac:dyDescent="0.35">
      <c r="A21" s="31" t="s">
        <v>51</v>
      </c>
      <c r="B21" s="163" t="e" vm="2">
        <v>#VALUE!</v>
      </c>
      <c r="C21" s="31"/>
      <c r="D21" s="153">
        <v>0.54374999999999996</v>
      </c>
      <c r="E21" s="160">
        <v>0.53680555555555554</v>
      </c>
      <c r="F21" s="32"/>
      <c r="G21" s="153">
        <v>0.60138888888888886</v>
      </c>
      <c r="H21" s="154">
        <v>0.59444444444444444</v>
      </c>
      <c r="I21" s="152" t="s">
        <v>41</v>
      </c>
    </row>
    <row r="22" spans="1:9" s="24" customFormat="1" ht="22.5" x14ac:dyDescent="0.25">
      <c r="A22" s="30" t="s">
        <v>57</v>
      </c>
      <c r="B22" s="163"/>
      <c r="C22" s="30"/>
      <c r="D22" s="153"/>
      <c r="E22" s="160"/>
      <c r="F22" s="32"/>
      <c r="G22" s="153"/>
      <c r="H22" s="154"/>
      <c r="I22" s="152"/>
    </row>
    <row r="23" spans="1:9" ht="22.5" x14ac:dyDescent="0.35">
      <c r="A23" s="31" t="s">
        <v>39</v>
      </c>
      <c r="B23" s="163" t="e" vm="2">
        <v>#VALUE!</v>
      </c>
      <c r="C23" s="31"/>
      <c r="D23" s="153">
        <v>0.5444444444444444</v>
      </c>
      <c r="E23" s="160">
        <v>0.55138888888888893</v>
      </c>
      <c r="F23" s="32"/>
      <c r="G23" s="153">
        <v>0.66319444444444442</v>
      </c>
      <c r="H23" s="161">
        <v>0.66319444444444442</v>
      </c>
      <c r="I23" s="152" t="s">
        <v>41</v>
      </c>
    </row>
    <row r="24" spans="1:9" s="24" customFormat="1" ht="22.5" x14ac:dyDescent="0.25">
      <c r="A24" s="30" t="s">
        <v>58</v>
      </c>
      <c r="B24" s="163"/>
      <c r="C24" s="30"/>
      <c r="D24" s="153"/>
      <c r="E24" s="160"/>
      <c r="F24" s="32"/>
      <c r="G24" s="153"/>
      <c r="H24" s="161"/>
      <c r="I24" s="152"/>
    </row>
    <row r="25" spans="1:9" ht="22.5" x14ac:dyDescent="0.35">
      <c r="A25" s="31" t="s">
        <v>43</v>
      </c>
      <c r="B25" s="163" t="e" vm="1">
        <v>#VALUE!</v>
      </c>
      <c r="C25" s="31"/>
      <c r="D25" s="153">
        <v>0.58125000000000004</v>
      </c>
      <c r="E25" s="32">
        <v>0.57013888888888886</v>
      </c>
      <c r="F25" s="32"/>
      <c r="G25" s="153">
        <v>0.79722222222222228</v>
      </c>
      <c r="H25" s="154">
        <v>0.77777777777777779</v>
      </c>
      <c r="I25" s="155" t="s">
        <v>45</v>
      </c>
    </row>
    <row r="26" spans="1:9" s="24" customFormat="1" ht="10.5" x14ac:dyDescent="0.25">
      <c r="A26" s="30" t="s">
        <v>59</v>
      </c>
      <c r="B26" s="163"/>
      <c r="C26" s="30"/>
      <c r="D26" s="153"/>
      <c r="E26" s="33" t="s">
        <v>80</v>
      </c>
      <c r="F26" s="33"/>
      <c r="G26" s="153"/>
      <c r="H26" s="154"/>
      <c r="I26" s="155"/>
    </row>
    <row r="27" spans="1:9" ht="22.5" x14ac:dyDescent="0.35">
      <c r="A27" s="31" t="s">
        <v>60</v>
      </c>
      <c r="B27" s="163" t="e" vm="1">
        <v>#VALUE!</v>
      </c>
      <c r="C27" s="31"/>
      <c r="D27" s="153">
        <v>0.6118055555555556</v>
      </c>
      <c r="E27" s="32">
        <v>0.60069444444444442</v>
      </c>
      <c r="F27" s="32"/>
      <c r="G27" s="153">
        <v>0.94652777777777775</v>
      </c>
      <c r="H27" s="154">
        <v>0.92708333333333337</v>
      </c>
      <c r="I27" s="155" t="s">
        <v>45</v>
      </c>
    </row>
    <row r="28" spans="1:9" s="24" customFormat="1" ht="11" customHeight="1" x14ac:dyDescent="0.25">
      <c r="A28" s="30" t="s">
        <v>61</v>
      </c>
      <c r="B28" s="163"/>
      <c r="C28" s="30"/>
      <c r="D28" s="153"/>
      <c r="E28" s="33" t="s">
        <v>80</v>
      </c>
      <c r="F28" s="33"/>
      <c r="G28" s="153"/>
      <c r="H28" s="154"/>
      <c r="I28" s="155"/>
    </row>
    <row r="29" spans="1:9" ht="22.5" x14ac:dyDescent="0.35">
      <c r="A29" s="31" t="s">
        <v>60</v>
      </c>
      <c r="B29" s="163" t="e" vm="1">
        <v>#VALUE!</v>
      </c>
      <c r="C29" s="31"/>
      <c r="D29" s="153">
        <v>0.6118055555555556</v>
      </c>
      <c r="E29" s="32">
        <v>0.60069444444444442</v>
      </c>
      <c r="F29" s="32"/>
      <c r="G29" s="153">
        <v>0.94652777777777775</v>
      </c>
      <c r="H29" s="154">
        <v>0.92708333333333337</v>
      </c>
      <c r="I29" s="155" t="s">
        <v>45</v>
      </c>
    </row>
    <row r="30" spans="1:9" s="24" customFormat="1" ht="10.5" x14ac:dyDescent="0.25">
      <c r="A30" s="30" t="s">
        <v>62</v>
      </c>
      <c r="B30" s="163"/>
      <c r="C30" s="30"/>
      <c r="D30" s="153"/>
      <c r="E30" s="33" t="s">
        <v>80</v>
      </c>
      <c r="F30" s="33"/>
      <c r="G30" s="153"/>
      <c r="H30" s="154"/>
      <c r="I30" s="155"/>
    </row>
    <row r="31" spans="1:9" ht="22.5" x14ac:dyDescent="0.35">
      <c r="A31" s="31" t="s">
        <v>31</v>
      </c>
      <c r="B31" s="163" t="e" vm="1">
        <v>#VALUE!</v>
      </c>
      <c r="C31" s="31"/>
      <c r="D31" s="153">
        <v>0.62291666666666667</v>
      </c>
      <c r="E31" s="32">
        <v>0.61458333333333337</v>
      </c>
      <c r="F31" s="32"/>
      <c r="G31" s="153">
        <v>0.66249999999999998</v>
      </c>
      <c r="H31" s="154">
        <v>0.64444444444444449</v>
      </c>
      <c r="I31" s="155" t="s">
        <v>48</v>
      </c>
    </row>
    <row r="32" spans="1:9" s="24" customFormat="1" ht="10.5" x14ac:dyDescent="0.25">
      <c r="A32" s="30" t="s">
        <v>63</v>
      </c>
      <c r="B32" s="163"/>
      <c r="C32" s="30"/>
      <c r="D32" s="153"/>
      <c r="E32" s="33" t="s">
        <v>80</v>
      </c>
      <c r="F32" s="33"/>
      <c r="G32" s="153"/>
      <c r="H32" s="154"/>
      <c r="I32" s="155"/>
    </row>
    <row r="33" spans="1:9" ht="22.5" x14ac:dyDescent="0.35">
      <c r="A33" s="31" t="s">
        <v>64</v>
      </c>
      <c r="B33" s="163" t="e" vm="1">
        <v>#VALUE!</v>
      </c>
      <c r="C33" s="31"/>
      <c r="D33" s="153">
        <v>0.62291666666666667</v>
      </c>
      <c r="E33" s="32">
        <v>0.61458333333333337</v>
      </c>
      <c r="F33" s="32"/>
      <c r="G33" s="153">
        <v>0.70972222222222225</v>
      </c>
      <c r="H33" s="154">
        <v>0.69166666666666665</v>
      </c>
      <c r="I33" s="155" t="s">
        <v>48</v>
      </c>
    </row>
    <row r="34" spans="1:9" s="24" customFormat="1" ht="10.5" x14ac:dyDescent="0.25">
      <c r="A34" s="30" t="s">
        <v>65</v>
      </c>
      <c r="B34" s="163"/>
      <c r="C34" s="30"/>
      <c r="D34" s="153"/>
      <c r="E34" s="33" t="s">
        <v>80</v>
      </c>
      <c r="F34" s="33"/>
      <c r="G34" s="153"/>
      <c r="H34" s="154"/>
      <c r="I34" s="155"/>
    </row>
    <row r="35" spans="1:9" ht="22.5" x14ac:dyDescent="0.35">
      <c r="A35" s="31" t="s">
        <v>39</v>
      </c>
      <c r="B35" s="163" t="e" vm="1">
        <v>#VALUE!</v>
      </c>
      <c r="C35" s="31"/>
      <c r="D35" s="153">
        <v>0.65277777777777779</v>
      </c>
      <c r="E35" s="160">
        <v>0.65972222222222221</v>
      </c>
      <c r="F35" s="32"/>
      <c r="G35" s="153">
        <v>0.77916666666666667</v>
      </c>
      <c r="H35" s="161">
        <v>0.77916666666666667</v>
      </c>
      <c r="I35" s="152" t="s">
        <v>41</v>
      </c>
    </row>
    <row r="36" spans="1:9" s="24" customFormat="1" ht="22.5" x14ac:dyDescent="0.25">
      <c r="A36" s="30" t="s">
        <v>66</v>
      </c>
      <c r="B36" s="163"/>
      <c r="C36" s="30"/>
      <c r="D36" s="153"/>
      <c r="E36" s="160"/>
      <c r="F36" s="32"/>
      <c r="G36" s="153"/>
      <c r="H36" s="161"/>
      <c r="I36" s="152"/>
    </row>
    <row r="37" spans="1:9" ht="22.5" x14ac:dyDescent="0.35">
      <c r="A37" s="31" t="s">
        <v>39</v>
      </c>
      <c r="B37" s="163" t="e" vm="2">
        <v>#VALUE!</v>
      </c>
      <c r="C37" s="31"/>
      <c r="D37" s="153">
        <v>0.7055555555555556</v>
      </c>
      <c r="E37" s="160">
        <v>0.71250000000000002</v>
      </c>
      <c r="F37" s="32"/>
      <c r="G37" s="153">
        <v>0.81805555555555554</v>
      </c>
      <c r="H37" s="161">
        <v>0.81805555555555554</v>
      </c>
      <c r="I37" s="152" t="s">
        <v>41</v>
      </c>
    </row>
    <row r="38" spans="1:9" s="24" customFormat="1" ht="22.5" x14ac:dyDescent="0.25">
      <c r="A38" s="30" t="s">
        <v>67</v>
      </c>
      <c r="B38" s="163"/>
      <c r="C38" s="30"/>
      <c r="D38" s="153"/>
      <c r="E38" s="160"/>
      <c r="F38" s="32"/>
      <c r="G38" s="153"/>
      <c r="H38" s="161"/>
      <c r="I38" s="152"/>
    </row>
    <row r="39" spans="1:9" ht="22.5" x14ac:dyDescent="0.35">
      <c r="A39" s="31" t="s">
        <v>49</v>
      </c>
      <c r="B39" s="163" t="e" vm="1">
        <v>#VALUE!</v>
      </c>
      <c r="C39" s="31"/>
      <c r="D39" s="153">
        <v>0.71458333333333335</v>
      </c>
      <c r="E39" s="32">
        <v>0.70347222222222228</v>
      </c>
      <c r="F39" s="32"/>
      <c r="G39" s="153">
        <v>0.90833333333333333</v>
      </c>
      <c r="H39" s="154">
        <v>0.88888888888888884</v>
      </c>
      <c r="I39" s="155" t="s">
        <v>45</v>
      </c>
    </row>
    <row r="40" spans="1:9" s="24" customFormat="1" ht="10.5" x14ac:dyDescent="0.25">
      <c r="A40" s="30" t="s">
        <v>68</v>
      </c>
      <c r="B40" s="163"/>
      <c r="C40" s="30"/>
      <c r="D40" s="153"/>
      <c r="E40" s="33" t="s">
        <v>80</v>
      </c>
      <c r="F40" s="33"/>
      <c r="G40" s="153"/>
      <c r="H40" s="154"/>
      <c r="I40" s="155"/>
    </row>
    <row r="41" spans="1:9" ht="22.5" x14ac:dyDescent="0.35">
      <c r="A41" s="31" t="s">
        <v>39</v>
      </c>
      <c r="B41" s="163" t="e" vm="1">
        <v>#VALUE!</v>
      </c>
      <c r="C41" s="31"/>
      <c r="D41" s="153">
        <v>0.74027777777777781</v>
      </c>
      <c r="E41" s="160">
        <v>0.74722222222222223</v>
      </c>
      <c r="F41" s="32"/>
      <c r="G41" s="153">
        <v>0.86250000000000004</v>
      </c>
      <c r="H41" s="161">
        <v>0.86250000000000004</v>
      </c>
      <c r="I41" s="152" t="s">
        <v>41</v>
      </c>
    </row>
    <row r="42" spans="1:9" s="24" customFormat="1" ht="22.5" x14ac:dyDescent="0.25">
      <c r="A42" s="30" t="s">
        <v>69</v>
      </c>
      <c r="B42" s="163"/>
      <c r="C42" s="30"/>
      <c r="D42" s="153"/>
      <c r="E42" s="160"/>
      <c r="F42" s="32"/>
      <c r="G42" s="153"/>
      <c r="H42" s="161"/>
      <c r="I42" s="152"/>
    </row>
    <row r="43" spans="1:9" ht="22.5" x14ac:dyDescent="0.35">
      <c r="A43" s="31" t="s">
        <v>51</v>
      </c>
      <c r="B43" s="163" t="e" vm="2">
        <v>#VALUE!</v>
      </c>
      <c r="C43" s="31"/>
      <c r="D43" s="153">
        <v>0.79583333333333328</v>
      </c>
      <c r="E43" s="160">
        <v>0.78888888888888886</v>
      </c>
      <c r="F43" s="32"/>
      <c r="G43" s="153">
        <v>0.85138888888888886</v>
      </c>
      <c r="H43" s="154">
        <v>0.84444444444444444</v>
      </c>
      <c r="I43" s="152" t="s">
        <v>41</v>
      </c>
    </row>
    <row r="44" spans="1:9" s="24" customFormat="1" ht="22.5" x14ac:dyDescent="0.25">
      <c r="A44" s="30" t="s">
        <v>70</v>
      </c>
      <c r="B44" s="163"/>
      <c r="C44" s="30"/>
      <c r="D44" s="153"/>
      <c r="E44" s="160"/>
      <c r="F44" s="32"/>
      <c r="G44" s="153"/>
      <c r="H44" s="154"/>
      <c r="I44" s="152"/>
    </row>
    <row r="45" spans="1:9" ht="22.5" x14ac:dyDescent="0.35">
      <c r="A45" s="31" t="s">
        <v>71</v>
      </c>
      <c r="B45" s="163" t="e" vm="1">
        <v>#VALUE!</v>
      </c>
      <c r="C45" s="31"/>
      <c r="D45" s="153">
        <v>0.8</v>
      </c>
      <c r="E45" s="32">
        <v>0.79166666666666663</v>
      </c>
      <c r="F45" s="32"/>
      <c r="G45" s="153">
        <v>0.88124999999999998</v>
      </c>
      <c r="H45" s="154">
        <v>0.86319444444444449</v>
      </c>
      <c r="I45" s="155" t="s">
        <v>48</v>
      </c>
    </row>
    <row r="46" spans="1:9" s="24" customFormat="1" ht="10.5" x14ac:dyDescent="0.25">
      <c r="A46" s="30" t="s">
        <v>72</v>
      </c>
      <c r="B46" s="163"/>
      <c r="C46" s="30"/>
      <c r="D46" s="153"/>
      <c r="E46" s="33" t="s">
        <v>80</v>
      </c>
      <c r="F46" s="33"/>
      <c r="G46" s="153"/>
      <c r="H46" s="154"/>
      <c r="I46" s="155"/>
    </row>
    <row r="47" spans="1:9" ht="22.5" x14ac:dyDescent="0.35">
      <c r="A47" s="31" t="s">
        <v>39</v>
      </c>
      <c r="B47" s="163" t="e" vm="2">
        <v>#VALUE!</v>
      </c>
      <c r="C47" s="31"/>
      <c r="D47" s="153">
        <v>0.8305555555555556</v>
      </c>
      <c r="E47" s="160">
        <v>0.83750000000000002</v>
      </c>
      <c r="F47" s="32"/>
      <c r="G47" s="153">
        <v>0.94722222222222219</v>
      </c>
      <c r="H47" s="161">
        <v>0.94722222222222219</v>
      </c>
      <c r="I47" s="152" t="s">
        <v>41</v>
      </c>
    </row>
    <row r="48" spans="1:9" s="24" customFormat="1" ht="22.5" x14ac:dyDescent="0.25">
      <c r="A48" s="30" t="s">
        <v>73</v>
      </c>
      <c r="B48" s="163"/>
      <c r="C48" s="30"/>
      <c r="D48" s="153"/>
      <c r="E48" s="160"/>
      <c r="F48" s="32"/>
      <c r="G48" s="153"/>
      <c r="H48" s="161"/>
      <c r="I48" s="152"/>
    </row>
    <row r="49" spans="1:10" ht="22.5" x14ac:dyDescent="0.35">
      <c r="A49" s="27" t="s">
        <v>74</v>
      </c>
      <c r="B49" s="164" t="e" vm="1">
        <v>#VALUE!</v>
      </c>
      <c r="C49" s="27"/>
      <c r="D49" s="156">
        <v>0.84166666666666667</v>
      </c>
      <c r="E49" s="157">
        <v>0.83472222222222225</v>
      </c>
      <c r="F49" s="28"/>
      <c r="G49" s="156">
        <v>0.84166666666666667</v>
      </c>
      <c r="H49" s="158">
        <v>0.83472222222222225</v>
      </c>
      <c r="I49" s="159" t="s">
        <v>41</v>
      </c>
    </row>
    <row r="50" spans="1:10" s="24" customFormat="1" ht="22.5" x14ac:dyDescent="0.35">
      <c r="A50" s="29" t="s">
        <v>75</v>
      </c>
      <c r="B50" s="164"/>
      <c r="C50" s="29"/>
      <c r="D50" s="156"/>
      <c r="E50" s="157"/>
      <c r="F50" s="28"/>
      <c r="G50" s="156"/>
      <c r="H50" s="158"/>
      <c r="I50" s="159"/>
      <c r="J50"/>
    </row>
    <row r="51" spans="1:10" ht="22.5" x14ac:dyDescent="0.35">
      <c r="A51" s="31" t="s">
        <v>51</v>
      </c>
      <c r="B51" s="163" t="e" vm="2">
        <v>#VALUE!</v>
      </c>
      <c r="C51" s="31"/>
      <c r="D51" s="153">
        <v>0.87916666666666665</v>
      </c>
      <c r="E51" s="160">
        <v>0.87222222222222223</v>
      </c>
      <c r="F51" s="32"/>
      <c r="G51" s="153">
        <v>0.93472222222222223</v>
      </c>
      <c r="H51" s="154">
        <v>0.92777777777777781</v>
      </c>
      <c r="I51" s="152" t="s">
        <v>41</v>
      </c>
    </row>
    <row r="52" spans="1:10" s="24" customFormat="1" ht="22.5" x14ac:dyDescent="0.25">
      <c r="A52" s="30" t="s">
        <v>76</v>
      </c>
      <c r="B52" s="163"/>
      <c r="C52" s="30"/>
      <c r="D52" s="153"/>
      <c r="E52" s="160"/>
      <c r="F52" s="32"/>
      <c r="G52" s="153"/>
      <c r="H52" s="154"/>
      <c r="I52" s="152"/>
    </row>
    <row r="53" spans="1:10" ht="22.5" x14ac:dyDescent="0.35">
      <c r="A53" s="31" t="s">
        <v>71</v>
      </c>
      <c r="B53" s="163" t="e" vm="1">
        <v>#VALUE!</v>
      </c>
      <c r="C53" s="31"/>
      <c r="D53" s="153">
        <v>0.8833333333333333</v>
      </c>
      <c r="E53" s="32">
        <v>0.875</v>
      </c>
      <c r="F53" s="32"/>
      <c r="G53" s="153">
        <v>0.95972222222222225</v>
      </c>
      <c r="H53" s="154">
        <v>0.94166666666666665</v>
      </c>
      <c r="I53" s="155" t="s">
        <v>48</v>
      </c>
    </row>
    <row r="54" spans="1:10" s="24" customFormat="1" ht="10.5" x14ac:dyDescent="0.25">
      <c r="A54" s="30" t="s">
        <v>77</v>
      </c>
      <c r="B54" s="163"/>
      <c r="C54" s="30"/>
      <c r="D54" s="153"/>
      <c r="E54" s="33" t="s">
        <v>80</v>
      </c>
      <c r="F54" s="33"/>
      <c r="G54" s="153"/>
      <c r="H54" s="154"/>
      <c r="I54" s="155"/>
    </row>
    <row r="55" spans="1:10" ht="22.5" x14ac:dyDescent="0.35">
      <c r="A55" s="27" t="s">
        <v>74</v>
      </c>
      <c r="B55" s="164" t="e" vm="1">
        <v>#VALUE!</v>
      </c>
      <c r="C55" s="27"/>
      <c r="D55" s="156">
        <v>0.91041666666666665</v>
      </c>
      <c r="E55" s="157">
        <v>0.90347222222222223</v>
      </c>
      <c r="F55" s="28"/>
      <c r="G55" s="156">
        <v>0.91041666666666665</v>
      </c>
      <c r="H55" s="158">
        <v>0.90347222222222223</v>
      </c>
      <c r="I55" s="159" t="s">
        <v>41</v>
      </c>
    </row>
    <row r="56" spans="1:10" s="24" customFormat="1" ht="22.5" x14ac:dyDescent="0.25">
      <c r="A56" s="29" t="s">
        <v>78</v>
      </c>
      <c r="B56" s="164"/>
      <c r="C56" s="29"/>
      <c r="D56" s="156"/>
      <c r="E56" s="157"/>
      <c r="F56" s="28"/>
      <c r="G56" s="156"/>
      <c r="H56" s="158"/>
      <c r="I56" s="159"/>
    </row>
    <row r="57" spans="1:10" ht="22.5" x14ac:dyDescent="0.35">
      <c r="A57" s="27" t="s">
        <v>74</v>
      </c>
      <c r="B57" s="164" t="e" vm="1">
        <v>#VALUE!</v>
      </c>
      <c r="C57" s="27"/>
      <c r="D57" s="156">
        <v>0.97222222222222221</v>
      </c>
      <c r="E57" s="157">
        <v>0.96527777777777779</v>
      </c>
      <c r="F57" s="28"/>
      <c r="G57" s="156">
        <v>0.97222222222222221</v>
      </c>
      <c r="H57" s="158">
        <v>0.96527777777777779</v>
      </c>
      <c r="I57" s="159" t="s">
        <v>41</v>
      </c>
    </row>
    <row r="58" spans="1:10" s="24" customFormat="1" ht="22.5" x14ac:dyDescent="0.25">
      <c r="A58" s="29" t="s">
        <v>79</v>
      </c>
      <c r="B58" s="164"/>
      <c r="C58" s="29"/>
      <c r="D58" s="156"/>
      <c r="E58" s="157"/>
      <c r="F58" s="28"/>
      <c r="G58" s="156"/>
      <c r="H58" s="158"/>
      <c r="I58" s="159"/>
    </row>
  </sheetData>
  <mergeCells count="157">
    <mergeCell ref="B53:B54"/>
    <mergeCell ref="B55:B56"/>
    <mergeCell ref="B57:B58"/>
    <mergeCell ref="B23:B24"/>
    <mergeCell ref="B37:B38"/>
    <mergeCell ref="B43:B44"/>
    <mergeCell ref="B47:B48"/>
    <mergeCell ref="B51:B52"/>
    <mergeCell ref="B3:B4"/>
    <mergeCell ref="B5:B6"/>
    <mergeCell ref="B7:B8"/>
    <mergeCell ref="B11:B12"/>
    <mergeCell ref="B13:B14"/>
    <mergeCell ref="B17:B18"/>
    <mergeCell ref="B19:B20"/>
    <mergeCell ref="B21:B22"/>
    <mergeCell ref="B25:B26"/>
    <mergeCell ref="B27:B28"/>
    <mergeCell ref="B29:B30"/>
    <mergeCell ref="B31:B32"/>
    <mergeCell ref="B33:B34"/>
    <mergeCell ref="B35:B36"/>
    <mergeCell ref="B39:B40"/>
    <mergeCell ref="B41:B42"/>
    <mergeCell ref="B45:B46"/>
    <mergeCell ref="B49:B50"/>
    <mergeCell ref="E5:E6"/>
    <mergeCell ref="A1:A2"/>
    <mergeCell ref="E3:E4"/>
    <mergeCell ref="G3:G4"/>
    <mergeCell ref="H3:H4"/>
    <mergeCell ref="I3:I4"/>
    <mergeCell ref="I1:I2"/>
    <mergeCell ref="B9:B10"/>
    <mergeCell ref="B15:B16"/>
    <mergeCell ref="D9:D10"/>
    <mergeCell ref="E9:E10"/>
    <mergeCell ref="G9:G10"/>
    <mergeCell ref="H9:H10"/>
    <mergeCell ref="I9:I10"/>
    <mergeCell ref="D11:D12"/>
    <mergeCell ref="G11:G12"/>
    <mergeCell ref="H11:H12"/>
    <mergeCell ref="I11:I12"/>
    <mergeCell ref="D17:D18"/>
    <mergeCell ref="G17:G18"/>
    <mergeCell ref="H17:H18"/>
    <mergeCell ref="I17:I18"/>
    <mergeCell ref="D19:D20"/>
    <mergeCell ref="G19:G20"/>
    <mergeCell ref="H19:H20"/>
    <mergeCell ref="I19:I20"/>
    <mergeCell ref="D13:D14"/>
    <mergeCell ref="G13:G14"/>
    <mergeCell ref="H13:H14"/>
    <mergeCell ref="I13:I14"/>
    <mergeCell ref="D15:D16"/>
    <mergeCell ref="E15:E16"/>
    <mergeCell ref="G15:G16"/>
    <mergeCell ref="H15:H16"/>
    <mergeCell ref="I15:I16"/>
    <mergeCell ref="D21:D22"/>
    <mergeCell ref="E21:E22"/>
    <mergeCell ref="G21:G22"/>
    <mergeCell ref="H21:H22"/>
    <mergeCell ref="I21:I22"/>
    <mergeCell ref="D23:D24"/>
    <mergeCell ref="E23:E24"/>
    <mergeCell ref="G23:G24"/>
    <mergeCell ref="H23:H24"/>
    <mergeCell ref="I23:I24"/>
    <mergeCell ref="D29:D30"/>
    <mergeCell ref="G29:G30"/>
    <mergeCell ref="H29:H30"/>
    <mergeCell ref="I29:I30"/>
    <mergeCell ref="D31:D32"/>
    <mergeCell ref="G31:G32"/>
    <mergeCell ref="H31:H32"/>
    <mergeCell ref="I31:I32"/>
    <mergeCell ref="D25:D26"/>
    <mergeCell ref="G25:G26"/>
    <mergeCell ref="H25:H26"/>
    <mergeCell ref="I25:I26"/>
    <mergeCell ref="D27:D28"/>
    <mergeCell ref="G27:G28"/>
    <mergeCell ref="H27:H28"/>
    <mergeCell ref="I27:I28"/>
    <mergeCell ref="D33:D34"/>
    <mergeCell ref="G33:G34"/>
    <mergeCell ref="H33:H34"/>
    <mergeCell ref="I33:I34"/>
    <mergeCell ref="D35:D36"/>
    <mergeCell ref="E35:E36"/>
    <mergeCell ref="G35:G36"/>
    <mergeCell ref="H35:H36"/>
    <mergeCell ref="I35:I36"/>
    <mergeCell ref="E43:E44"/>
    <mergeCell ref="G43:G44"/>
    <mergeCell ref="H43:H44"/>
    <mergeCell ref="I43:I44"/>
    <mergeCell ref="D37:D38"/>
    <mergeCell ref="E37:E38"/>
    <mergeCell ref="G37:G38"/>
    <mergeCell ref="H37:H38"/>
    <mergeCell ref="I37:I38"/>
    <mergeCell ref="D39:D40"/>
    <mergeCell ref="G39:G40"/>
    <mergeCell ref="H39:H40"/>
    <mergeCell ref="I39:I40"/>
    <mergeCell ref="D3:D4"/>
    <mergeCell ref="D5:D6"/>
    <mergeCell ref="G5:G6"/>
    <mergeCell ref="H5:H6"/>
    <mergeCell ref="D53:D54"/>
    <mergeCell ref="G53:G54"/>
    <mergeCell ref="H53:H54"/>
    <mergeCell ref="I53:I54"/>
    <mergeCell ref="D55:D56"/>
    <mergeCell ref="E55:E56"/>
    <mergeCell ref="G55:G56"/>
    <mergeCell ref="H55:H56"/>
    <mergeCell ref="I55:I56"/>
    <mergeCell ref="D49:D50"/>
    <mergeCell ref="E49:E50"/>
    <mergeCell ref="G49:G50"/>
    <mergeCell ref="H49:H50"/>
    <mergeCell ref="I49:I50"/>
    <mergeCell ref="D51:D52"/>
    <mergeCell ref="E51:E52"/>
    <mergeCell ref="G51:G52"/>
    <mergeCell ref="H51:H52"/>
    <mergeCell ref="I51:I52"/>
    <mergeCell ref="D45:D46"/>
    <mergeCell ref="I5:I6"/>
    <mergeCell ref="D7:D8"/>
    <mergeCell ref="G7:G8"/>
    <mergeCell ref="H7:H8"/>
    <mergeCell ref="I7:I8"/>
    <mergeCell ref="D57:D58"/>
    <mergeCell ref="E57:E58"/>
    <mergeCell ref="G57:G58"/>
    <mergeCell ref="H57:H58"/>
    <mergeCell ref="I57:I58"/>
    <mergeCell ref="G45:G46"/>
    <mergeCell ref="H45:H46"/>
    <mergeCell ref="I45:I46"/>
    <mergeCell ref="D47:D48"/>
    <mergeCell ref="E47:E48"/>
    <mergeCell ref="G47:G48"/>
    <mergeCell ref="H47:H48"/>
    <mergeCell ref="I47:I48"/>
    <mergeCell ref="D41:D42"/>
    <mergeCell ref="E41:E42"/>
    <mergeCell ref="G41:G42"/>
    <mergeCell ref="H41:H42"/>
    <mergeCell ref="I41:I42"/>
    <mergeCell ref="D43:D44"/>
  </mergeCells>
  <printOptions horizontalCentered="1" verticalCentered="1"/>
  <pageMargins left="0" right="0" top="3.937007874015748E-2" bottom="0" header="0" footer="0.31496062992125984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CE20-D6FD-4F51-9006-8E2E10E1BA0D}">
  <sheetPr codeName="Feuil5"/>
  <dimension ref="A1:AU20"/>
  <sheetViews>
    <sheetView zoomScale="79" zoomScaleNormal="123" workbookViewId="0">
      <selection activeCell="L8" sqref="L8"/>
    </sheetView>
  </sheetViews>
  <sheetFormatPr baseColWidth="10" defaultRowHeight="14.5" x14ac:dyDescent="0.35"/>
  <cols>
    <col min="1" max="1" width="1.81640625" bestFit="1" customWidth="1"/>
    <col min="2" max="2" width="25.7265625" bestFit="1" customWidth="1"/>
    <col min="3" max="12" width="10.81640625" bestFit="1" customWidth="1"/>
  </cols>
  <sheetData>
    <row r="1" spans="1:47" x14ac:dyDescent="0.35">
      <c r="A1" s="40"/>
      <c r="B1" s="41" t="s">
        <v>81</v>
      </c>
      <c r="C1" s="41">
        <v>2015</v>
      </c>
      <c r="D1" s="41">
        <v>2016</v>
      </c>
      <c r="E1" s="41">
        <v>2017</v>
      </c>
      <c r="F1" s="41">
        <v>2018</v>
      </c>
      <c r="G1" s="41">
        <v>2019</v>
      </c>
      <c r="H1" s="41">
        <v>2020</v>
      </c>
      <c r="I1" s="41">
        <v>2021</v>
      </c>
      <c r="J1" s="41">
        <v>2022</v>
      </c>
      <c r="K1" s="41">
        <v>2023</v>
      </c>
      <c r="L1" s="41">
        <v>2024</v>
      </c>
    </row>
    <row r="2" spans="1:47" x14ac:dyDescent="0.35">
      <c r="A2" s="50">
        <v>1</v>
      </c>
      <c r="B2" s="47" t="s">
        <v>139</v>
      </c>
      <c r="C2" s="51">
        <v>723873</v>
      </c>
      <c r="D2" s="51">
        <v>739676</v>
      </c>
      <c r="E2" s="51">
        <v>791713</v>
      </c>
      <c r="F2" s="51">
        <v>733608</v>
      </c>
      <c r="G2" s="51">
        <v>739793</v>
      </c>
      <c r="H2" s="51">
        <v>360875</v>
      </c>
      <c r="I2" s="51">
        <v>476167</v>
      </c>
      <c r="J2" s="51">
        <v>605331</v>
      </c>
      <c r="K2" s="51">
        <v>668206</v>
      </c>
      <c r="L2" s="51">
        <v>664494</v>
      </c>
    </row>
    <row r="3" spans="1:47" x14ac:dyDescent="0.35">
      <c r="A3" s="59">
        <v>2</v>
      </c>
      <c r="B3" s="49" t="s">
        <v>140</v>
      </c>
      <c r="C3" s="54">
        <v>689453</v>
      </c>
      <c r="D3" s="54">
        <v>682900</v>
      </c>
      <c r="E3" s="54">
        <v>712656</v>
      </c>
      <c r="F3" s="54">
        <v>641643</v>
      </c>
      <c r="G3" s="54">
        <v>657453</v>
      </c>
      <c r="H3" s="54">
        <v>349723</v>
      </c>
      <c r="I3" s="54">
        <v>501306</v>
      </c>
      <c r="J3" s="54">
        <v>618834</v>
      </c>
      <c r="K3" s="54">
        <v>739282</v>
      </c>
      <c r="L3" s="54">
        <v>667419</v>
      </c>
    </row>
    <row r="4" spans="1:47" x14ac:dyDescent="0.35">
      <c r="A4" s="117"/>
      <c r="B4" s="48"/>
      <c r="C4" s="118"/>
      <c r="D4" s="118"/>
      <c r="E4" s="118"/>
      <c r="F4" s="118"/>
      <c r="G4" s="118"/>
      <c r="H4" s="118"/>
      <c r="I4" s="118"/>
      <c r="J4" s="118"/>
      <c r="K4" s="118"/>
      <c r="L4" s="118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</row>
    <row r="5" spans="1:47" x14ac:dyDescent="0.35">
      <c r="A5" s="117"/>
      <c r="B5" s="56" t="s">
        <v>98</v>
      </c>
      <c r="C5" s="57">
        <f>SUM(C2:C3)</f>
        <v>1413326</v>
      </c>
      <c r="D5" s="57">
        <f t="shared" ref="D5:L5" si="0">SUM(D2:D3)</f>
        <v>1422576</v>
      </c>
      <c r="E5" s="57">
        <f t="shared" si="0"/>
        <v>1504369</v>
      </c>
      <c r="F5" s="57">
        <f t="shared" si="0"/>
        <v>1375251</v>
      </c>
      <c r="G5" s="57">
        <f t="shared" si="0"/>
        <v>1397246</v>
      </c>
      <c r="H5" s="57">
        <f t="shared" si="0"/>
        <v>710598</v>
      </c>
      <c r="I5" s="57">
        <f t="shared" si="0"/>
        <v>977473</v>
      </c>
      <c r="J5" s="57">
        <f t="shared" si="0"/>
        <v>1224165</v>
      </c>
      <c r="K5" s="57">
        <f t="shared" si="0"/>
        <v>1407488</v>
      </c>
      <c r="L5" s="57">
        <f t="shared" si="0"/>
        <v>1331913</v>
      </c>
    </row>
    <row r="6" spans="1:47" x14ac:dyDescent="0.35">
      <c r="A6" s="117"/>
      <c r="B6" t="s">
        <v>100</v>
      </c>
      <c r="C6" s="60">
        <f>(C5-C5)/C5</f>
        <v>0</v>
      </c>
      <c r="D6" s="60">
        <f>(D5-C5)/C5</f>
        <v>6.5448452798575838E-3</v>
      </c>
      <c r="E6" s="60">
        <f t="shared" ref="E6:L6" si="1">(E5-D5)/D5</f>
        <v>5.74964008952773E-2</v>
      </c>
      <c r="F6" s="60">
        <f t="shared" si="1"/>
        <v>-8.5828676342041083E-2</v>
      </c>
      <c r="G6" s="60">
        <f t="shared" si="1"/>
        <v>1.599344410583959E-2</v>
      </c>
      <c r="H6" s="60">
        <f t="shared" si="1"/>
        <v>-0.49142956930991394</v>
      </c>
      <c r="I6" s="60">
        <f t="shared" si="1"/>
        <v>0.37556396162105721</v>
      </c>
      <c r="J6" s="60">
        <f t="shared" si="1"/>
        <v>0.25237730351631193</v>
      </c>
      <c r="K6" s="60">
        <f t="shared" si="1"/>
        <v>0.14975350545065411</v>
      </c>
      <c r="L6" s="60">
        <f t="shared" si="1"/>
        <v>-5.3694951573299385E-2</v>
      </c>
    </row>
    <row r="7" spans="1:47" x14ac:dyDescent="0.35">
      <c r="A7" s="117"/>
      <c r="B7" t="s">
        <v>99</v>
      </c>
      <c r="C7" s="60">
        <f>(C5-$C$5)/$C$5</f>
        <v>0</v>
      </c>
      <c r="D7" s="60">
        <f t="shared" ref="D7:L7" si="2">(D5-$C$5)/$C$5</f>
        <v>6.5448452798575838E-3</v>
      </c>
      <c r="E7" s="60">
        <f t="shared" si="2"/>
        <v>6.4417551223143132E-2</v>
      </c>
      <c r="F7" s="60">
        <f t="shared" si="2"/>
        <v>-2.6939998273575946E-2</v>
      </c>
      <c r="G7" s="60">
        <f t="shared" si="2"/>
        <v>-1.1377417524336211E-2</v>
      </c>
      <c r="H7" s="60">
        <f t="shared" si="2"/>
        <v>-0.49721578744040651</v>
      </c>
      <c r="I7" s="60">
        <f t="shared" si="2"/>
        <v>-0.30838815673100189</v>
      </c>
      <c r="J7" s="60">
        <f t="shared" si="2"/>
        <v>-0.13384102464682598</v>
      </c>
      <c r="K7" s="60">
        <f t="shared" si="2"/>
        <v>-4.1306818101414676E-3</v>
      </c>
      <c r="L7" s="60">
        <f t="shared" si="2"/>
        <v>-5.7603836623680592E-2</v>
      </c>
    </row>
    <row r="8" spans="1:47" x14ac:dyDescent="0.35">
      <c r="A8" s="117"/>
    </row>
    <row r="9" spans="1:47" x14ac:dyDescent="0.35">
      <c r="A9" s="117"/>
    </row>
    <row r="10" spans="1:47" x14ac:dyDescent="0.35">
      <c r="A10" s="117"/>
      <c r="B10" s="4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46"/>
    </row>
    <row r="11" spans="1:47" x14ac:dyDescent="0.35">
      <c r="A11" s="117"/>
      <c r="B11" s="48"/>
      <c r="C11" s="121"/>
      <c r="D11" s="121"/>
      <c r="E11" s="121"/>
      <c r="F11" s="121"/>
      <c r="G11" s="121"/>
      <c r="H11" s="121"/>
      <c r="I11" s="121"/>
      <c r="J11" s="121"/>
      <c r="K11" s="121"/>
      <c r="L11" s="121"/>
    </row>
    <row r="12" spans="1:47" x14ac:dyDescent="0.35">
      <c r="A12" s="117"/>
      <c r="B12" s="48"/>
      <c r="C12" s="120"/>
      <c r="D12" s="120"/>
      <c r="E12" s="118"/>
      <c r="F12" s="118"/>
      <c r="G12" s="118"/>
      <c r="H12" s="118"/>
      <c r="I12" s="118"/>
      <c r="J12" s="118"/>
      <c r="K12" s="118"/>
      <c r="L12" s="118"/>
    </row>
    <row r="13" spans="1:47" x14ac:dyDescent="0.35">
      <c r="A13" s="117"/>
      <c r="B13" s="119"/>
      <c r="C13" s="120"/>
      <c r="D13" s="120"/>
      <c r="E13" s="120"/>
      <c r="F13" s="120"/>
      <c r="G13" s="120"/>
      <c r="H13" s="120"/>
      <c r="I13" s="120"/>
      <c r="J13" s="120"/>
      <c r="K13" s="120"/>
      <c r="L13" s="120"/>
    </row>
    <row r="14" spans="1:47" x14ac:dyDescent="0.35">
      <c r="A14" s="117"/>
      <c r="B14" s="119"/>
      <c r="C14" s="120"/>
      <c r="D14" s="120"/>
      <c r="E14" s="120"/>
      <c r="F14" s="120"/>
      <c r="G14" s="120"/>
      <c r="H14" s="120"/>
      <c r="I14" s="120"/>
      <c r="J14" s="120"/>
      <c r="K14" s="120"/>
      <c r="L14" s="120"/>
    </row>
    <row r="15" spans="1:47" x14ac:dyDescent="0.35">
      <c r="A15" s="117"/>
      <c r="B15" s="119"/>
      <c r="E15" s="120"/>
      <c r="F15" s="120"/>
      <c r="G15" s="120"/>
      <c r="H15" s="120"/>
      <c r="I15" s="120"/>
      <c r="J15" s="120"/>
      <c r="K15" s="120"/>
      <c r="L15" s="120"/>
    </row>
    <row r="16" spans="1:47" x14ac:dyDescent="0.35">
      <c r="A16" s="117"/>
      <c r="B16" s="119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46"/>
    </row>
    <row r="17" spans="1:23" x14ac:dyDescent="0.35">
      <c r="A17" s="117"/>
      <c r="B17" s="119"/>
      <c r="C17" s="120"/>
      <c r="D17" s="121"/>
      <c r="E17" s="121"/>
      <c r="F17" s="121"/>
      <c r="G17" s="121"/>
      <c r="H17" s="121"/>
      <c r="I17" s="121"/>
      <c r="J17" s="121"/>
      <c r="K17" s="121"/>
      <c r="L17" s="121"/>
    </row>
    <row r="18" spans="1:23" x14ac:dyDescent="0.35">
      <c r="A18" s="117"/>
      <c r="B18" s="119"/>
      <c r="C18" s="120"/>
      <c r="D18" s="121"/>
      <c r="E18" s="121"/>
      <c r="F18" s="121"/>
      <c r="G18" s="121"/>
      <c r="H18" s="121"/>
      <c r="I18" s="121"/>
      <c r="J18" s="121"/>
      <c r="K18" s="121"/>
      <c r="L18" s="121"/>
    </row>
    <row r="19" spans="1:23" x14ac:dyDescent="0.35">
      <c r="A19" s="117"/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3" x14ac:dyDescent="0.35">
      <c r="C20" s="55"/>
      <c r="D20" s="55"/>
      <c r="E20" s="55"/>
      <c r="F20" s="55"/>
      <c r="G20" s="55"/>
      <c r="H20" s="55"/>
      <c r="I20" s="55"/>
      <c r="J20" s="55"/>
      <c r="K20" s="55"/>
      <c r="L20" s="55"/>
    </row>
  </sheetData>
  <conditionalFormatting sqref="C6:L7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C5:L5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3E62-81A3-453C-B10E-C6E7BF662495}">
  <sheetPr>
    <pageSetUpPr fitToPage="1"/>
  </sheetPr>
  <dimension ref="A1:R63"/>
  <sheetViews>
    <sheetView tabSelected="1" topLeftCell="I12" zoomScale="49" zoomScaleNormal="115" workbookViewId="0">
      <selection activeCell="Q14" sqref="Q14"/>
    </sheetView>
  </sheetViews>
  <sheetFormatPr baseColWidth="10" defaultRowHeight="14.5" x14ac:dyDescent="0.35"/>
  <cols>
    <col min="1" max="1" width="33.08984375" bestFit="1" customWidth="1"/>
    <col min="2" max="2" width="8.6328125" bestFit="1" customWidth="1"/>
    <col min="3" max="3" width="18.81640625" style="26" customWidth="1"/>
    <col min="4" max="4" width="22.90625" style="21" customWidth="1"/>
    <col min="5" max="5" width="20.26953125" style="26" bestFit="1" customWidth="1"/>
    <col min="6" max="6" width="6" style="21" bestFit="1" customWidth="1"/>
    <col min="7" max="7" width="22.36328125" style="26" bestFit="1" customWidth="1"/>
    <col min="8" max="8" width="6" style="21" bestFit="1" customWidth="1"/>
    <col min="11" max="11" width="33" bestFit="1" customWidth="1"/>
    <col min="12" max="12" width="5.6328125" bestFit="1" customWidth="1"/>
    <col min="13" max="13" width="26.54296875" bestFit="1" customWidth="1"/>
  </cols>
  <sheetData>
    <row r="1" spans="1:18" x14ac:dyDescent="0.35">
      <c r="A1" s="122"/>
      <c r="B1" s="123"/>
      <c r="C1" s="149" t="s">
        <v>277</v>
      </c>
      <c r="D1" s="150"/>
      <c r="E1" s="149" t="s">
        <v>234</v>
      </c>
      <c r="F1" s="150"/>
      <c r="G1" s="149" t="s">
        <v>235</v>
      </c>
      <c r="H1" s="150"/>
    </row>
    <row r="2" spans="1:18" x14ac:dyDescent="0.35">
      <c r="A2" s="124" t="s">
        <v>141</v>
      </c>
      <c r="B2" s="125" t="s">
        <v>201</v>
      </c>
      <c r="C2" s="126"/>
      <c r="D2" s="127"/>
      <c r="E2" s="126"/>
      <c r="F2" s="127"/>
      <c r="G2" s="126"/>
      <c r="H2" s="127"/>
      <c r="K2" t="s">
        <v>276</v>
      </c>
      <c r="L2" t="s">
        <v>266</v>
      </c>
      <c r="M2" t="s">
        <v>267</v>
      </c>
    </row>
    <row r="3" spans="1:18" x14ac:dyDescent="0.35">
      <c r="A3" s="124" t="s">
        <v>142</v>
      </c>
      <c r="B3" s="125" t="s">
        <v>201</v>
      </c>
      <c r="C3" s="126"/>
      <c r="D3" s="127"/>
      <c r="E3" s="126"/>
      <c r="F3" s="127"/>
      <c r="G3" s="126"/>
      <c r="H3" s="127"/>
      <c r="K3" s="147" t="s">
        <v>113</v>
      </c>
      <c r="L3" s="147" t="s">
        <v>201</v>
      </c>
      <c r="M3" s="147" t="s">
        <v>264</v>
      </c>
    </row>
    <row r="4" spans="1:18" x14ac:dyDescent="0.35">
      <c r="A4" s="124" t="s">
        <v>143</v>
      </c>
      <c r="B4" s="125" t="s">
        <v>201</v>
      </c>
      <c r="C4" s="126"/>
      <c r="D4" s="127"/>
      <c r="E4" s="126"/>
      <c r="F4" s="127"/>
      <c r="G4" s="126"/>
      <c r="H4" s="127"/>
      <c r="K4" s="146" t="s">
        <v>273</v>
      </c>
      <c r="L4" s="146" t="s">
        <v>201</v>
      </c>
      <c r="M4" s="146" t="s">
        <v>265</v>
      </c>
    </row>
    <row r="5" spans="1:18" x14ac:dyDescent="0.35">
      <c r="A5" s="124" t="s">
        <v>144</v>
      </c>
      <c r="B5" s="125" t="s">
        <v>201</v>
      </c>
      <c r="C5" s="126"/>
      <c r="D5" s="127"/>
      <c r="E5" s="126"/>
      <c r="F5" s="127"/>
      <c r="G5" s="126"/>
      <c r="H5" s="127"/>
      <c r="K5" s="147" t="s">
        <v>236</v>
      </c>
      <c r="L5" s="147" t="s">
        <v>201</v>
      </c>
      <c r="M5" s="147" t="s">
        <v>264</v>
      </c>
    </row>
    <row r="6" spans="1:18" x14ac:dyDescent="0.35">
      <c r="A6" s="124" t="s">
        <v>145</v>
      </c>
      <c r="B6" s="125" t="s">
        <v>201</v>
      </c>
      <c r="C6" s="126"/>
      <c r="D6" s="127"/>
      <c r="E6" s="126"/>
      <c r="F6" s="127"/>
      <c r="G6" s="126"/>
      <c r="H6" s="127"/>
      <c r="K6" s="9" t="s">
        <v>261</v>
      </c>
      <c r="L6" s="9" t="s">
        <v>202</v>
      </c>
      <c r="M6" s="9" t="s">
        <v>264</v>
      </c>
    </row>
    <row r="7" spans="1:18" x14ac:dyDescent="0.35">
      <c r="A7" s="124" t="s">
        <v>146</v>
      </c>
      <c r="B7" s="125" t="s">
        <v>201</v>
      </c>
      <c r="C7" s="126"/>
      <c r="D7" s="127"/>
      <c r="E7" s="126"/>
      <c r="F7" s="127"/>
      <c r="G7" s="126"/>
      <c r="H7" s="127"/>
      <c r="K7" s="146" t="s">
        <v>271</v>
      </c>
      <c r="L7" s="146" t="s">
        <v>201</v>
      </c>
      <c r="M7" s="146" t="s">
        <v>265</v>
      </c>
    </row>
    <row r="8" spans="1:18" x14ac:dyDescent="0.35">
      <c r="A8" s="124" t="s">
        <v>147</v>
      </c>
      <c r="B8" s="125" t="s">
        <v>201</v>
      </c>
      <c r="C8" s="126"/>
      <c r="D8" s="127"/>
      <c r="E8" s="126"/>
      <c r="F8" s="127"/>
      <c r="G8" s="126"/>
      <c r="H8" s="127"/>
      <c r="K8" s="146" t="s">
        <v>269</v>
      </c>
      <c r="L8" s="146" t="s">
        <v>201</v>
      </c>
      <c r="M8" s="146" t="s">
        <v>265</v>
      </c>
    </row>
    <row r="9" spans="1:18" x14ac:dyDescent="0.35">
      <c r="A9" s="124" t="s">
        <v>148</v>
      </c>
      <c r="B9" s="125" t="s">
        <v>201</v>
      </c>
      <c r="C9" s="126"/>
      <c r="D9" s="127"/>
      <c r="E9" s="126"/>
      <c r="F9" s="127"/>
      <c r="G9" s="126"/>
      <c r="H9" s="127"/>
      <c r="K9" s="9" t="s">
        <v>263</v>
      </c>
      <c r="L9" s="9" t="s">
        <v>202</v>
      </c>
      <c r="M9" s="9" t="s">
        <v>264</v>
      </c>
    </row>
    <row r="10" spans="1:18" x14ac:dyDescent="0.35">
      <c r="A10" s="124" t="s">
        <v>149</v>
      </c>
      <c r="B10" s="125" t="s">
        <v>201</v>
      </c>
      <c r="C10" s="126"/>
      <c r="D10" s="127"/>
      <c r="E10" s="126"/>
      <c r="F10" s="127"/>
      <c r="G10" s="126"/>
      <c r="H10" s="127"/>
      <c r="K10" s="146" t="s">
        <v>272</v>
      </c>
      <c r="L10" s="146" t="s">
        <v>201</v>
      </c>
      <c r="M10" s="146" t="s">
        <v>265</v>
      </c>
    </row>
    <row r="11" spans="1:18" x14ac:dyDescent="0.35">
      <c r="A11" s="124" t="s">
        <v>150</v>
      </c>
      <c r="B11" s="125" t="s">
        <v>201</v>
      </c>
      <c r="C11" s="126"/>
      <c r="D11" s="127"/>
      <c r="E11" s="126"/>
      <c r="F11" s="127"/>
      <c r="G11" s="126"/>
      <c r="H11" s="127"/>
      <c r="K11" s="146" t="s">
        <v>28</v>
      </c>
      <c r="L11" s="146" t="s">
        <v>201</v>
      </c>
      <c r="M11" s="146" t="s">
        <v>265</v>
      </c>
    </row>
    <row r="12" spans="1:18" x14ac:dyDescent="0.35">
      <c r="A12" s="124" t="s">
        <v>151</v>
      </c>
      <c r="B12" s="125" t="s">
        <v>201</v>
      </c>
      <c r="C12" s="126"/>
      <c r="D12" s="127"/>
      <c r="E12" s="126"/>
      <c r="F12" s="127"/>
      <c r="G12" s="126"/>
      <c r="H12" s="127"/>
      <c r="K12" s="147" t="s">
        <v>237</v>
      </c>
      <c r="L12" s="147" t="s">
        <v>201</v>
      </c>
      <c r="M12" s="147" t="s">
        <v>264</v>
      </c>
      <c r="Q12" t="s">
        <v>279</v>
      </c>
      <c r="R12" t="s">
        <v>280</v>
      </c>
    </row>
    <row r="13" spans="1:18" x14ac:dyDescent="0.35">
      <c r="A13" s="124" t="s">
        <v>152</v>
      </c>
      <c r="B13" s="125" t="s">
        <v>201</v>
      </c>
      <c r="C13" s="126"/>
      <c r="D13" s="127"/>
      <c r="E13" s="126"/>
      <c r="F13" s="127"/>
      <c r="G13" s="126"/>
      <c r="H13" s="127"/>
      <c r="K13" s="146" t="s">
        <v>238</v>
      </c>
      <c r="L13" s="146" t="s">
        <v>201</v>
      </c>
      <c r="M13" s="146" t="s">
        <v>265</v>
      </c>
      <c r="Q13" t="s">
        <v>283</v>
      </c>
      <c r="R13">
        <v>1</v>
      </c>
    </row>
    <row r="14" spans="1:18" x14ac:dyDescent="0.35">
      <c r="A14" s="124" t="s">
        <v>153</v>
      </c>
      <c r="B14" s="125" t="s">
        <v>201</v>
      </c>
      <c r="C14" s="126"/>
      <c r="D14" s="127"/>
      <c r="E14" s="126"/>
      <c r="F14" s="127"/>
      <c r="G14" s="126"/>
      <c r="H14" s="127"/>
      <c r="K14" s="146" t="s">
        <v>275</v>
      </c>
      <c r="L14" s="146" t="s">
        <v>201</v>
      </c>
      <c r="M14" s="146" t="s">
        <v>265</v>
      </c>
      <c r="Q14" t="s">
        <v>282</v>
      </c>
      <c r="R14">
        <v>13</v>
      </c>
    </row>
    <row r="15" spans="1:18" x14ac:dyDescent="0.35">
      <c r="A15" s="128" t="s">
        <v>154</v>
      </c>
      <c r="B15" s="129" t="s">
        <v>208</v>
      </c>
      <c r="C15" s="130" t="s">
        <v>203</v>
      </c>
      <c r="D15" s="131" t="s">
        <v>211</v>
      </c>
      <c r="E15" s="130" t="s">
        <v>223</v>
      </c>
      <c r="F15" s="131" t="s">
        <v>215</v>
      </c>
      <c r="G15" s="130"/>
      <c r="H15" s="131"/>
      <c r="K15" s="147" t="s">
        <v>257</v>
      </c>
      <c r="L15" s="147" t="s">
        <v>201</v>
      </c>
      <c r="M15" s="147" t="s">
        <v>264</v>
      </c>
      <c r="Q15" t="s">
        <v>281</v>
      </c>
      <c r="R15">
        <v>46</v>
      </c>
    </row>
    <row r="16" spans="1:18" x14ac:dyDescent="0.35">
      <c r="A16" s="124" t="s">
        <v>155</v>
      </c>
      <c r="B16" s="125" t="s">
        <v>201</v>
      </c>
      <c r="C16" s="126"/>
      <c r="D16" s="127"/>
      <c r="E16" s="126"/>
      <c r="F16" s="127"/>
      <c r="G16" s="126"/>
      <c r="H16" s="127"/>
      <c r="K16" s="146" t="s">
        <v>260</v>
      </c>
      <c r="L16" s="146" t="s">
        <v>201</v>
      </c>
      <c r="M16" s="146" t="s">
        <v>265</v>
      </c>
    </row>
    <row r="17" spans="1:13" x14ac:dyDescent="0.35">
      <c r="A17" s="124" t="s">
        <v>156</v>
      </c>
      <c r="B17" s="125" t="s">
        <v>201</v>
      </c>
      <c r="C17" s="126"/>
      <c r="D17" s="127"/>
      <c r="E17" s="126"/>
      <c r="F17" s="127"/>
      <c r="G17" s="126"/>
      <c r="H17" s="127"/>
      <c r="K17" s="148" t="s">
        <v>1</v>
      </c>
      <c r="L17" s="148" t="s">
        <v>202</v>
      </c>
      <c r="M17" s="148" t="s">
        <v>268</v>
      </c>
    </row>
    <row r="18" spans="1:13" x14ac:dyDescent="0.35">
      <c r="A18" s="124" t="s">
        <v>157</v>
      </c>
      <c r="B18" s="125" t="s">
        <v>201</v>
      </c>
      <c r="C18" s="126"/>
      <c r="D18" s="127"/>
      <c r="E18" s="126"/>
      <c r="F18" s="127"/>
      <c r="G18" s="126"/>
      <c r="H18" s="127"/>
      <c r="K18" s="146" t="s">
        <v>258</v>
      </c>
      <c r="L18" s="146" t="s">
        <v>201</v>
      </c>
      <c r="M18" s="146" t="s">
        <v>265</v>
      </c>
    </row>
    <row r="19" spans="1:13" x14ac:dyDescent="0.35">
      <c r="A19" s="124" t="s">
        <v>158</v>
      </c>
      <c r="B19" s="125" t="s">
        <v>201</v>
      </c>
      <c r="C19" s="126"/>
      <c r="D19" s="127"/>
      <c r="E19" s="126"/>
      <c r="F19" s="127"/>
      <c r="G19" s="126"/>
      <c r="H19" s="127"/>
      <c r="K19" s="147" t="s">
        <v>239</v>
      </c>
      <c r="L19" s="147" t="s">
        <v>201</v>
      </c>
      <c r="M19" s="147" t="s">
        <v>264</v>
      </c>
    </row>
    <row r="20" spans="1:13" x14ac:dyDescent="0.35">
      <c r="A20" s="128" t="s">
        <v>159</v>
      </c>
      <c r="B20" s="129" t="s">
        <v>208</v>
      </c>
      <c r="C20" s="130" t="s">
        <v>204</v>
      </c>
      <c r="D20" s="131" t="s">
        <v>212</v>
      </c>
      <c r="E20" s="130"/>
      <c r="F20" s="131"/>
      <c r="G20" s="130"/>
      <c r="H20" s="131"/>
      <c r="K20" s="146" t="s">
        <v>240</v>
      </c>
      <c r="L20" s="146" t="s">
        <v>201</v>
      </c>
      <c r="M20" s="146" t="s">
        <v>265</v>
      </c>
    </row>
    <row r="21" spans="1:13" x14ac:dyDescent="0.35">
      <c r="A21" s="124" t="s">
        <v>160</v>
      </c>
      <c r="B21" s="125" t="s">
        <v>201</v>
      </c>
      <c r="C21" s="126"/>
      <c r="D21" s="127"/>
      <c r="E21" s="126"/>
      <c r="F21" s="127"/>
      <c r="G21" s="126"/>
      <c r="H21" s="127"/>
      <c r="K21" s="146" t="s">
        <v>71</v>
      </c>
      <c r="L21" s="146" t="s">
        <v>201</v>
      </c>
      <c r="M21" s="146" t="s">
        <v>265</v>
      </c>
    </row>
    <row r="22" spans="1:13" x14ac:dyDescent="0.35">
      <c r="A22" s="124" t="s">
        <v>161</v>
      </c>
      <c r="B22" s="125" t="s">
        <v>201</v>
      </c>
      <c r="C22" s="126"/>
      <c r="D22" s="127"/>
      <c r="E22" s="126"/>
      <c r="F22" s="127"/>
      <c r="G22" s="126"/>
      <c r="H22" s="127"/>
      <c r="K22" s="147" t="s">
        <v>241</v>
      </c>
      <c r="L22" s="147" t="s">
        <v>201</v>
      </c>
      <c r="M22" s="147" t="s">
        <v>264</v>
      </c>
    </row>
    <row r="23" spans="1:13" x14ac:dyDescent="0.35">
      <c r="A23" s="124" t="s">
        <v>162</v>
      </c>
      <c r="B23" s="125" t="s">
        <v>201</v>
      </c>
      <c r="C23" s="126"/>
      <c r="D23" s="127"/>
      <c r="E23" s="126"/>
      <c r="F23" s="127"/>
      <c r="G23" s="126"/>
      <c r="H23" s="127"/>
      <c r="K23" s="146" t="s">
        <v>7</v>
      </c>
      <c r="L23" s="146" t="s">
        <v>201</v>
      </c>
      <c r="M23" s="146" t="s">
        <v>265</v>
      </c>
    </row>
    <row r="24" spans="1:13" x14ac:dyDescent="0.35">
      <c r="A24" s="124" t="s">
        <v>163</v>
      </c>
      <c r="B24" s="125" t="s">
        <v>201</v>
      </c>
      <c r="C24" s="126"/>
      <c r="D24" s="127"/>
      <c r="E24" s="126"/>
      <c r="F24" s="127"/>
      <c r="G24" s="126"/>
      <c r="H24" s="127"/>
      <c r="K24" s="146" t="s">
        <v>64</v>
      </c>
      <c r="L24" s="146" t="s">
        <v>201</v>
      </c>
      <c r="M24" s="146" t="s">
        <v>265</v>
      </c>
    </row>
    <row r="25" spans="1:13" x14ac:dyDescent="0.35">
      <c r="A25" s="124" t="s">
        <v>164</v>
      </c>
      <c r="B25" s="125" t="s">
        <v>201</v>
      </c>
      <c r="C25" s="126"/>
      <c r="D25" s="127"/>
      <c r="E25" s="126"/>
      <c r="F25" s="127"/>
      <c r="G25" s="126"/>
      <c r="H25" s="127"/>
      <c r="K25" s="147" t="s">
        <v>242</v>
      </c>
      <c r="L25" s="147" t="s">
        <v>201</v>
      </c>
      <c r="M25" s="147" t="s">
        <v>264</v>
      </c>
    </row>
    <row r="26" spans="1:13" x14ac:dyDescent="0.35">
      <c r="A26" s="124" t="s">
        <v>165</v>
      </c>
      <c r="B26" s="125" t="s">
        <v>201</v>
      </c>
      <c r="C26" s="126"/>
      <c r="D26" s="127"/>
      <c r="E26" s="126"/>
      <c r="F26" s="127"/>
      <c r="G26" s="126"/>
      <c r="H26" s="127"/>
      <c r="K26" s="147" t="s">
        <v>243</v>
      </c>
      <c r="L26" s="147" t="s">
        <v>201</v>
      </c>
      <c r="M26" s="147" t="s">
        <v>264</v>
      </c>
    </row>
    <row r="27" spans="1:13" x14ac:dyDescent="0.35">
      <c r="A27" s="124" t="s">
        <v>166</v>
      </c>
      <c r="B27" s="125" t="s">
        <v>201</v>
      </c>
      <c r="C27" s="126"/>
      <c r="D27" s="127"/>
      <c r="E27" s="126"/>
      <c r="F27" s="127"/>
      <c r="G27" s="126"/>
      <c r="H27" s="127"/>
      <c r="K27" s="146" t="s">
        <v>244</v>
      </c>
      <c r="L27" s="146" t="s">
        <v>201</v>
      </c>
      <c r="M27" s="146" t="s">
        <v>265</v>
      </c>
    </row>
    <row r="28" spans="1:13" x14ac:dyDescent="0.35">
      <c r="A28" s="124" t="s">
        <v>167</v>
      </c>
      <c r="B28" s="125" t="s">
        <v>201</v>
      </c>
      <c r="C28" s="126"/>
      <c r="D28" s="127"/>
      <c r="E28" s="126"/>
      <c r="F28" s="127"/>
      <c r="G28" s="126"/>
      <c r="H28" s="127"/>
      <c r="K28" s="147" t="s">
        <v>245</v>
      </c>
      <c r="L28" s="147" t="s">
        <v>201</v>
      </c>
      <c r="M28" s="147" t="s">
        <v>264</v>
      </c>
    </row>
    <row r="29" spans="1:13" x14ac:dyDescent="0.35">
      <c r="A29" s="128" t="s">
        <v>168</v>
      </c>
      <c r="B29" s="129" t="s">
        <v>208</v>
      </c>
      <c r="C29" s="130" t="s">
        <v>207</v>
      </c>
      <c r="D29" s="131" t="s">
        <v>213</v>
      </c>
      <c r="E29" s="130"/>
      <c r="F29" s="131"/>
      <c r="G29" s="130"/>
      <c r="H29" s="131"/>
      <c r="K29" s="146" t="s">
        <v>246</v>
      </c>
      <c r="L29" s="146" t="s">
        <v>201</v>
      </c>
      <c r="M29" s="146" t="s">
        <v>265</v>
      </c>
    </row>
    <row r="30" spans="1:13" x14ac:dyDescent="0.35">
      <c r="A30" s="124" t="s">
        <v>169</v>
      </c>
      <c r="B30" s="125" t="s">
        <v>201</v>
      </c>
      <c r="C30" s="126"/>
      <c r="D30" s="127"/>
      <c r="E30" s="126"/>
      <c r="F30" s="127"/>
      <c r="G30" s="126"/>
      <c r="H30" s="127"/>
      <c r="K30" s="146" t="s">
        <v>247</v>
      </c>
      <c r="L30" s="146" t="s">
        <v>201</v>
      </c>
      <c r="M30" s="146" t="s">
        <v>265</v>
      </c>
    </row>
    <row r="31" spans="1:13" x14ac:dyDescent="0.35">
      <c r="A31" s="124" t="s">
        <v>170</v>
      </c>
      <c r="B31" s="125" t="s">
        <v>201</v>
      </c>
      <c r="C31" s="126"/>
      <c r="D31" s="127"/>
      <c r="E31" s="126"/>
      <c r="F31" s="127"/>
      <c r="G31" s="126"/>
      <c r="H31" s="127"/>
      <c r="K31" s="146" t="s">
        <v>262</v>
      </c>
      <c r="L31" s="146" t="s">
        <v>201</v>
      </c>
      <c r="M31" s="146" t="s">
        <v>265</v>
      </c>
    </row>
    <row r="32" spans="1:13" x14ac:dyDescent="0.35">
      <c r="A32" s="124" t="s">
        <v>171</v>
      </c>
      <c r="B32" s="125" t="s">
        <v>201</v>
      </c>
      <c r="C32" s="126"/>
      <c r="D32" s="127"/>
      <c r="E32" s="126"/>
      <c r="F32" s="127"/>
      <c r="G32" s="126"/>
      <c r="H32" s="127"/>
      <c r="K32" s="146" t="s">
        <v>248</v>
      </c>
      <c r="L32" s="146" t="s">
        <v>201</v>
      </c>
      <c r="M32" s="146" t="s">
        <v>265</v>
      </c>
    </row>
    <row r="33" spans="1:18" x14ac:dyDescent="0.35">
      <c r="A33" s="124" t="s">
        <v>172</v>
      </c>
      <c r="B33" s="125" t="s">
        <v>201</v>
      </c>
      <c r="C33" s="126"/>
      <c r="D33" s="127"/>
      <c r="E33" s="126"/>
      <c r="F33" s="127"/>
      <c r="G33" s="126"/>
      <c r="H33" s="127"/>
      <c r="K33" s="146" t="s">
        <v>249</v>
      </c>
      <c r="L33" s="146" t="s">
        <v>201</v>
      </c>
      <c r="M33" s="146" t="s">
        <v>265</v>
      </c>
    </row>
    <row r="34" spans="1:18" x14ac:dyDescent="0.35">
      <c r="A34" s="124" t="s">
        <v>173</v>
      </c>
      <c r="B34" s="125" t="s">
        <v>201</v>
      </c>
      <c r="C34" s="126"/>
      <c r="D34" s="127"/>
      <c r="E34" s="126"/>
      <c r="F34" s="127"/>
      <c r="G34" s="126"/>
      <c r="H34" s="127"/>
      <c r="K34" s="146" t="s">
        <v>250</v>
      </c>
      <c r="L34" s="146" t="s">
        <v>201</v>
      </c>
      <c r="M34" s="146" t="s">
        <v>265</v>
      </c>
    </row>
    <row r="35" spans="1:18" x14ac:dyDescent="0.35">
      <c r="A35" s="132" t="s">
        <v>174</v>
      </c>
      <c r="B35" s="133" t="s">
        <v>208</v>
      </c>
      <c r="C35" s="134" t="s">
        <v>209</v>
      </c>
      <c r="D35" s="135" t="s">
        <v>214</v>
      </c>
      <c r="E35" s="134" t="s">
        <v>217</v>
      </c>
      <c r="F35" s="135" t="s">
        <v>218</v>
      </c>
      <c r="G35" s="136" t="s">
        <v>224</v>
      </c>
      <c r="H35" s="137" t="s">
        <v>218</v>
      </c>
      <c r="K35" s="146" t="s">
        <v>256</v>
      </c>
      <c r="L35" s="146" t="s">
        <v>201</v>
      </c>
      <c r="M35" s="146" t="s">
        <v>265</v>
      </c>
    </row>
    <row r="36" spans="1:18" x14ac:dyDescent="0.35">
      <c r="A36" s="124" t="s">
        <v>175</v>
      </c>
      <c r="B36" s="125" t="s">
        <v>201</v>
      </c>
      <c r="C36" s="126"/>
      <c r="D36" s="127"/>
      <c r="E36" s="126"/>
      <c r="F36" s="127"/>
      <c r="G36" s="126"/>
      <c r="H36" s="127"/>
      <c r="K36" s="146" t="s">
        <v>274</v>
      </c>
      <c r="L36" s="146" t="s">
        <v>201</v>
      </c>
      <c r="M36" s="146" t="s">
        <v>265</v>
      </c>
    </row>
    <row r="37" spans="1:18" x14ac:dyDescent="0.35">
      <c r="A37" s="124" t="s">
        <v>176</v>
      </c>
      <c r="B37" s="125" t="s">
        <v>201</v>
      </c>
      <c r="C37" s="126"/>
      <c r="D37" s="127"/>
      <c r="E37" s="126"/>
      <c r="F37" s="127"/>
      <c r="G37" s="126"/>
      <c r="H37" s="127"/>
      <c r="K37" s="147" t="s">
        <v>82</v>
      </c>
      <c r="L37" s="147" t="s">
        <v>201</v>
      </c>
      <c r="M37" s="147" t="s">
        <v>264</v>
      </c>
    </row>
    <row r="38" spans="1:18" x14ac:dyDescent="0.35">
      <c r="A38" s="128" t="s">
        <v>177</v>
      </c>
      <c r="B38" s="129" t="s">
        <v>208</v>
      </c>
      <c r="C38" s="130" t="s">
        <v>209</v>
      </c>
      <c r="D38" s="131" t="s">
        <v>216</v>
      </c>
      <c r="E38" s="130"/>
      <c r="F38" s="131"/>
      <c r="G38" s="130"/>
      <c r="H38" s="131"/>
      <c r="K38" s="146" t="s">
        <v>206</v>
      </c>
      <c r="L38" s="146" t="s">
        <v>201</v>
      </c>
      <c r="M38" s="146" t="s">
        <v>265</v>
      </c>
    </row>
    <row r="39" spans="1:18" x14ac:dyDescent="0.35">
      <c r="A39" s="142" t="s">
        <v>178</v>
      </c>
      <c r="B39" s="143" t="s">
        <v>208</v>
      </c>
      <c r="C39" s="144" t="s">
        <v>207</v>
      </c>
      <c r="D39" s="145" t="s">
        <v>219</v>
      </c>
      <c r="E39" s="144" t="s">
        <v>205</v>
      </c>
      <c r="F39" s="145" t="s">
        <v>220</v>
      </c>
      <c r="G39" s="144"/>
      <c r="H39" s="145"/>
      <c r="K39" s="146" t="s">
        <v>251</v>
      </c>
      <c r="L39" s="146" t="s">
        <v>201</v>
      </c>
      <c r="M39" s="146" t="s">
        <v>265</v>
      </c>
    </row>
    <row r="40" spans="1:18" x14ac:dyDescent="0.35">
      <c r="A40" s="128" t="s">
        <v>179</v>
      </c>
      <c r="B40" s="129" t="s">
        <v>208</v>
      </c>
      <c r="C40" s="130" t="s">
        <v>203</v>
      </c>
      <c r="D40" s="131" t="s">
        <v>221</v>
      </c>
      <c r="E40" s="130"/>
      <c r="F40" s="131"/>
      <c r="G40" s="130"/>
      <c r="H40" s="131"/>
      <c r="K40" s="146" t="s">
        <v>270</v>
      </c>
      <c r="L40" s="146" t="s">
        <v>201</v>
      </c>
      <c r="M40" s="146" t="s">
        <v>265</v>
      </c>
    </row>
    <row r="41" spans="1:18" x14ac:dyDescent="0.35">
      <c r="A41" s="124" t="s">
        <v>180</v>
      </c>
      <c r="B41" s="125" t="s">
        <v>201</v>
      </c>
      <c r="C41" s="126"/>
      <c r="D41" s="127"/>
      <c r="E41" s="126"/>
      <c r="F41" s="127"/>
      <c r="G41" s="126"/>
      <c r="H41" s="127"/>
      <c r="K41" s="9" t="s">
        <v>252</v>
      </c>
      <c r="L41" s="9" t="s">
        <v>202</v>
      </c>
      <c r="M41" s="9" t="s">
        <v>264</v>
      </c>
    </row>
    <row r="42" spans="1:18" x14ac:dyDescent="0.35">
      <c r="A42" s="128" t="s">
        <v>181</v>
      </c>
      <c r="B42" s="129" t="s">
        <v>208</v>
      </c>
      <c r="C42" s="130" t="s">
        <v>203</v>
      </c>
      <c r="D42" s="131" t="s">
        <v>222</v>
      </c>
      <c r="E42" s="130"/>
      <c r="F42" s="131"/>
      <c r="G42" s="130"/>
      <c r="H42" s="131"/>
      <c r="K42" s="146" t="s">
        <v>253</v>
      </c>
      <c r="L42" s="146" t="s">
        <v>201</v>
      </c>
      <c r="M42" s="146" t="s">
        <v>265</v>
      </c>
      <c r="Q42" t="s">
        <v>284</v>
      </c>
      <c r="R42" t="s">
        <v>280</v>
      </c>
    </row>
    <row r="43" spans="1:18" x14ac:dyDescent="0.35">
      <c r="A43" s="124" t="s">
        <v>182</v>
      </c>
      <c r="B43" s="125" t="s">
        <v>201</v>
      </c>
      <c r="C43" s="126"/>
      <c r="D43" s="127"/>
      <c r="E43" s="126"/>
      <c r="F43" s="127"/>
      <c r="G43" s="126"/>
      <c r="H43" s="127"/>
      <c r="K43" s="147" t="s">
        <v>254</v>
      </c>
      <c r="L43" s="147" t="s">
        <v>201</v>
      </c>
      <c r="M43" s="147" t="s">
        <v>264</v>
      </c>
      <c r="Q43" t="s">
        <v>287</v>
      </c>
      <c r="R43">
        <v>4</v>
      </c>
    </row>
    <row r="44" spans="1:18" x14ac:dyDescent="0.35">
      <c r="A44" s="124" t="s">
        <v>183</v>
      </c>
      <c r="B44" s="125" t="s">
        <v>201</v>
      </c>
      <c r="C44" s="126"/>
      <c r="D44" s="127"/>
      <c r="E44" s="126"/>
      <c r="F44" s="127"/>
      <c r="G44" s="126"/>
      <c r="H44" s="127"/>
      <c r="K44" s="9" t="s">
        <v>255</v>
      </c>
      <c r="L44" s="9" t="s">
        <v>202</v>
      </c>
      <c r="M44" s="9" t="s">
        <v>264</v>
      </c>
      <c r="Q44" t="s">
        <v>286</v>
      </c>
      <c r="R44">
        <v>12</v>
      </c>
    </row>
    <row r="45" spans="1:18" x14ac:dyDescent="0.35">
      <c r="A45" s="124" t="s">
        <v>184</v>
      </c>
      <c r="B45" s="125" t="s">
        <v>201</v>
      </c>
      <c r="C45" s="126"/>
      <c r="D45" s="127"/>
      <c r="E45" s="126"/>
      <c r="F45" s="127"/>
      <c r="G45" s="126"/>
      <c r="H45" s="127"/>
      <c r="K45" s="147" t="s">
        <v>259</v>
      </c>
      <c r="L45" s="147" t="s">
        <v>201</v>
      </c>
      <c r="M45" s="147" t="s">
        <v>264</v>
      </c>
      <c r="Q45" t="s">
        <v>285</v>
      </c>
      <c r="R45">
        <v>26</v>
      </c>
    </row>
    <row r="46" spans="1:18" x14ac:dyDescent="0.35">
      <c r="A46" s="124" t="s">
        <v>185</v>
      </c>
      <c r="B46" s="125" t="s">
        <v>201</v>
      </c>
      <c r="C46" s="126"/>
      <c r="D46" s="127"/>
      <c r="E46" s="126"/>
      <c r="F46" s="127"/>
      <c r="G46" s="126"/>
      <c r="H46" s="127"/>
    </row>
    <row r="47" spans="1:18" x14ac:dyDescent="0.35">
      <c r="A47" s="132" t="s">
        <v>186</v>
      </c>
      <c r="B47" s="133" t="s">
        <v>208</v>
      </c>
      <c r="C47" s="134" t="s">
        <v>209</v>
      </c>
      <c r="D47" s="135" t="s">
        <v>225</v>
      </c>
      <c r="E47" s="134"/>
      <c r="F47" s="135"/>
      <c r="G47" s="136" t="s">
        <v>227</v>
      </c>
      <c r="H47" s="135" t="s">
        <v>226</v>
      </c>
    </row>
    <row r="48" spans="1:18" x14ac:dyDescent="0.35">
      <c r="A48" s="124" t="s">
        <v>187</v>
      </c>
      <c r="B48" s="125" t="s">
        <v>201</v>
      </c>
      <c r="C48" s="126"/>
      <c r="D48" s="127"/>
      <c r="E48" s="126"/>
      <c r="F48" s="127"/>
      <c r="G48" s="126"/>
      <c r="H48" s="127"/>
    </row>
    <row r="49" spans="1:8" x14ac:dyDescent="0.35">
      <c r="A49" s="128" t="s">
        <v>188</v>
      </c>
      <c r="B49" s="129" t="s">
        <v>208</v>
      </c>
      <c r="C49" s="130" t="s">
        <v>210</v>
      </c>
      <c r="D49" s="131" t="s">
        <v>228</v>
      </c>
      <c r="E49" s="130"/>
      <c r="F49" s="131"/>
      <c r="G49" s="130"/>
      <c r="H49" s="131"/>
    </row>
    <row r="50" spans="1:8" x14ac:dyDescent="0.35">
      <c r="A50" s="128" t="s">
        <v>189</v>
      </c>
      <c r="B50" s="129" t="s">
        <v>208</v>
      </c>
      <c r="C50" s="130" t="s">
        <v>210</v>
      </c>
      <c r="D50" s="131" t="s">
        <v>230</v>
      </c>
      <c r="E50" s="130"/>
      <c r="F50" s="131"/>
      <c r="G50" s="130"/>
      <c r="H50" s="131"/>
    </row>
    <row r="51" spans="1:8" x14ac:dyDescent="0.35">
      <c r="A51" s="124" t="s">
        <v>190</v>
      </c>
      <c r="B51" s="125" t="s">
        <v>201</v>
      </c>
      <c r="C51" s="126"/>
      <c r="D51" s="127"/>
      <c r="E51" s="126"/>
      <c r="F51" s="127"/>
      <c r="G51" s="126"/>
      <c r="H51" s="127"/>
    </row>
    <row r="52" spans="1:8" x14ac:dyDescent="0.35">
      <c r="A52" s="124" t="s">
        <v>191</v>
      </c>
      <c r="B52" s="125" t="s">
        <v>201</v>
      </c>
      <c r="C52" s="126"/>
      <c r="D52" s="127"/>
      <c r="E52" s="126"/>
      <c r="F52" s="127"/>
      <c r="G52" s="126"/>
      <c r="H52" s="127"/>
    </row>
    <row r="53" spans="1:8" x14ac:dyDescent="0.35">
      <c r="A53" s="124" t="s">
        <v>192</v>
      </c>
      <c r="B53" s="125" t="s">
        <v>201</v>
      </c>
      <c r="C53" s="126"/>
      <c r="D53" s="127"/>
      <c r="E53" s="126"/>
      <c r="F53" s="127"/>
      <c r="G53" s="126"/>
      <c r="H53" s="127"/>
    </row>
    <row r="54" spans="1:8" x14ac:dyDescent="0.35">
      <c r="A54" s="128" t="s">
        <v>193</v>
      </c>
      <c r="B54" s="129" t="s">
        <v>208</v>
      </c>
      <c r="C54" s="130" t="s">
        <v>209</v>
      </c>
      <c r="D54" s="131" t="s">
        <v>231</v>
      </c>
      <c r="E54" s="130"/>
      <c r="F54" s="131"/>
      <c r="G54" s="130"/>
      <c r="H54" s="131"/>
    </row>
    <row r="55" spans="1:8" x14ac:dyDescent="0.35">
      <c r="A55" s="124" t="s">
        <v>194</v>
      </c>
      <c r="B55" s="125" t="s">
        <v>201</v>
      </c>
      <c r="C55" s="126"/>
      <c r="D55" s="127"/>
      <c r="E55" s="126"/>
      <c r="F55" s="127"/>
      <c r="G55" s="126"/>
      <c r="H55" s="127"/>
    </row>
    <row r="56" spans="1:8" x14ac:dyDescent="0.35">
      <c r="A56" s="124" t="s">
        <v>195</v>
      </c>
      <c r="B56" s="125" t="s">
        <v>201</v>
      </c>
      <c r="C56" s="126"/>
      <c r="D56" s="127"/>
      <c r="E56" s="126"/>
      <c r="F56" s="127"/>
      <c r="G56" s="126"/>
      <c r="H56" s="127"/>
    </row>
    <row r="57" spans="1:8" x14ac:dyDescent="0.35">
      <c r="A57" s="128" t="s">
        <v>196</v>
      </c>
      <c r="B57" s="129" t="s">
        <v>208</v>
      </c>
      <c r="C57" s="130" t="s">
        <v>207</v>
      </c>
      <c r="D57" s="131" t="s">
        <v>232</v>
      </c>
      <c r="E57" s="130" t="s">
        <v>205</v>
      </c>
      <c r="F57" s="131" t="s">
        <v>212</v>
      </c>
      <c r="G57" s="130"/>
      <c r="H57" s="131"/>
    </row>
    <row r="58" spans="1:8" x14ac:dyDescent="0.35">
      <c r="A58" s="124" t="s">
        <v>197</v>
      </c>
      <c r="B58" s="125" t="s">
        <v>201</v>
      </c>
      <c r="C58" s="126"/>
      <c r="D58" s="127"/>
      <c r="E58" s="126"/>
      <c r="F58" s="127"/>
      <c r="G58" s="126"/>
      <c r="H58" s="127"/>
    </row>
    <row r="59" spans="1:8" x14ac:dyDescent="0.35">
      <c r="A59" s="124" t="s">
        <v>198</v>
      </c>
      <c r="B59" s="125" t="s">
        <v>201</v>
      </c>
      <c r="C59" s="126"/>
      <c r="D59" s="127"/>
      <c r="E59" s="126"/>
      <c r="F59" s="127"/>
      <c r="G59" s="126"/>
      <c r="H59" s="127"/>
    </row>
    <row r="60" spans="1:8" x14ac:dyDescent="0.35">
      <c r="A60" s="124" t="s">
        <v>199</v>
      </c>
      <c r="B60" s="125" t="s">
        <v>201</v>
      </c>
      <c r="C60" s="126"/>
      <c r="D60" s="127"/>
      <c r="E60" s="126"/>
      <c r="F60" s="127"/>
      <c r="G60" s="126"/>
      <c r="H60" s="127"/>
    </row>
    <row r="61" spans="1:8" x14ac:dyDescent="0.35">
      <c r="A61" s="138" t="s">
        <v>200</v>
      </c>
      <c r="B61" s="139" t="s">
        <v>202</v>
      </c>
      <c r="C61" s="140"/>
      <c r="D61" s="141"/>
      <c r="E61" s="140" t="s">
        <v>233</v>
      </c>
      <c r="F61" s="141" t="s">
        <v>229</v>
      </c>
      <c r="G61" s="140"/>
      <c r="H61" s="141"/>
    </row>
    <row r="63" spans="1:8" x14ac:dyDescent="0.35">
      <c r="A63" s="151" t="s">
        <v>278</v>
      </c>
      <c r="B63" s="151"/>
      <c r="C63" s="151"/>
      <c r="D63" s="151"/>
      <c r="E63" s="151"/>
      <c r="F63" s="151"/>
      <c r="G63" s="151"/>
      <c r="H63" s="151"/>
    </row>
  </sheetData>
  <autoFilter ref="M1:M63" xr:uid="{C5CA3E62-81A3-453C-B10E-C6E7BF662495}"/>
  <sortState xmlns:xlrd2="http://schemas.microsoft.com/office/spreadsheetml/2017/richdata2" ref="K3:M45">
    <sortCondition ref="K45"/>
  </sortState>
  <mergeCells count="4">
    <mergeCell ref="C1:D1"/>
    <mergeCell ref="E1:F1"/>
    <mergeCell ref="G1:H1"/>
    <mergeCell ref="A63:H63"/>
  </mergeCells>
  <pageMargins left="0.7" right="0.7" top="0.75" bottom="0.75" header="0.3" footer="0.3"/>
  <pageSetup paperSize="9" scale="50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C5E5-8D96-4427-AF08-7393910FA7B3}">
  <sheetPr codeName="Feuil3"/>
  <dimension ref="A1:W23"/>
  <sheetViews>
    <sheetView zoomScale="124" zoomScaleNormal="108" workbookViewId="0">
      <selection activeCell="E26" sqref="E26"/>
    </sheetView>
  </sheetViews>
  <sheetFormatPr baseColWidth="10" defaultRowHeight="14.5" x14ac:dyDescent="0.35"/>
  <cols>
    <col min="1" max="1" width="3.08984375" customWidth="1"/>
    <col min="2" max="2" width="25.90625" bestFit="1" customWidth="1"/>
    <col min="3" max="12" width="9.81640625" bestFit="1" customWidth="1"/>
  </cols>
  <sheetData>
    <row r="1" spans="1:13" x14ac:dyDescent="0.35">
      <c r="A1" s="40"/>
      <c r="B1" s="41" t="s">
        <v>81</v>
      </c>
      <c r="C1" s="41">
        <v>2015</v>
      </c>
      <c r="D1" s="41">
        <v>2016</v>
      </c>
      <c r="E1" s="41">
        <v>2017</v>
      </c>
      <c r="F1" s="41">
        <v>2018</v>
      </c>
      <c r="G1" s="41">
        <v>2019</v>
      </c>
      <c r="H1" s="41">
        <v>2020</v>
      </c>
      <c r="I1" s="41">
        <v>2021</v>
      </c>
      <c r="J1" s="41">
        <v>2022</v>
      </c>
      <c r="K1" s="41">
        <v>2023</v>
      </c>
      <c r="L1" s="41">
        <v>2024</v>
      </c>
    </row>
    <row r="2" spans="1:13" x14ac:dyDescent="0.35">
      <c r="A2" s="50">
        <v>1</v>
      </c>
      <c r="B2" s="47" t="s">
        <v>101</v>
      </c>
      <c r="C2" s="58">
        <v>174714</v>
      </c>
      <c r="D2" s="58">
        <v>167823</v>
      </c>
      <c r="E2" s="58">
        <v>174344</v>
      </c>
      <c r="F2" s="58">
        <v>168440</v>
      </c>
      <c r="G2" s="58">
        <v>183583</v>
      </c>
      <c r="H2" s="58">
        <v>118983</v>
      </c>
      <c r="I2" s="58">
        <v>141991</v>
      </c>
      <c r="J2" s="58">
        <v>186927</v>
      </c>
      <c r="K2" s="58">
        <v>234086</v>
      </c>
      <c r="L2" s="58">
        <v>253994</v>
      </c>
    </row>
    <row r="3" spans="1:13" x14ac:dyDescent="0.35">
      <c r="A3" s="44">
        <v>2</v>
      </c>
      <c r="B3" s="49" t="s">
        <v>6</v>
      </c>
      <c r="C3" s="54">
        <v>65370</v>
      </c>
      <c r="D3" s="54">
        <v>51734</v>
      </c>
      <c r="E3" s="54">
        <v>47464</v>
      </c>
      <c r="F3" s="54">
        <v>45475</v>
      </c>
      <c r="G3" s="54">
        <v>49250</v>
      </c>
      <c r="H3" s="54">
        <v>39886</v>
      </c>
      <c r="I3" s="54">
        <v>44604</v>
      </c>
      <c r="J3" s="54">
        <v>57921</v>
      </c>
      <c r="K3" s="54">
        <v>71747</v>
      </c>
      <c r="L3" s="54">
        <v>73987</v>
      </c>
    </row>
    <row r="4" spans="1:13" x14ac:dyDescent="0.35">
      <c r="A4" s="42">
        <v>3</v>
      </c>
      <c r="B4" s="43" t="s">
        <v>88</v>
      </c>
      <c r="C4" s="53">
        <v>79337</v>
      </c>
      <c r="D4" s="53">
        <v>69576</v>
      </c>
      <c r="E4" s="53">
        <v>74572</v>
      </c>
      <c r="F4" s="53">
        <v>78592</v>
      </c>
      <c r="G4" s="53">
        <v>78248</v>
      </c>
      <c r="H4" s="53">
        <v>58023</v>
      </c>
      <c r="I4" s="53">
        <v>60905</v>
      </c>
      <c r="J4" s="53">
        <v>84897</v>
      </c>
      <c r="K4" s="53">
        <v>103033</v>
      </c>
      <c r="L4" s="53">
        <v>103554</v>
      </c>
    </row>
    <row r="5" spans="1:13" x14ac:dyDescent="0.35">
      <c r="A5" s="44">
        <v>4</v>
      </c>
      <c r="B5" s="49" t="s">
        <v>89</v>
      </c>
      <c r="C5" s="54">
        <v>419394</v>
      </c>
      <c r="D5" s="54">
        <v>396767</v>
      </c>
      <c r="E5" s="54">
        <v>391782</v>
      </c>
      <c r="F5" s="54">
        <v>372890</v>
      </c>
      <c r="G5" s="54">
        <v>400877</v>
      </c>
      <c r="H5" s="54">
        <v>351266</v>
      </c>
      <c r="I5" s="54">
        <v>364274</v>
      </c>
      <c r="J5" s="54">
        <v>421687</v>
      </c>
      <c r="K5" s="54">
        <v>561765</v>
      </c>
      <c r="L5" s="54">
        <v>605938</v>
      </c>
    </row>
    <row r="6" spans="1:13" x14ac:dyDescent="0.35">
      <c r="A6" s="42">
        <v>5</v>
      </c>
      <c r="B6" s="43" t="s">
        <v>87</v>
      </c>
      <c r="C6" s="53">
        <v>25872</v>
      </c>
      <c r="D6" s="53">
        <v>21017</v>
      </c>
      <c r="E6" s="53">
        <v>20815</v>
      </c>
      <c r="F6" s="53">
        <v>20228</v>
      </c>
      <c r="G6" s="53">
        <v>24167</v>
      </c>
      <c r="H6" s="53">
        <v>18540</v>
      </c>
      <c r="I6" s="53">
        <v>21483</v>
      </c>
      <c r="J6" s="53">
        <v>24439</v>
      </c>
      <c r="K6" s="53">
        <v>26367</v>
      </c>
      <c r="L6" s="53">
        <v>36878</v>
      </c>
    </row>
    <row r="7" spans="1:13" x14ac:dyDescent="0.35">
      <c r="A7" s="44">
        <v>6</v>
      </c>
      <c r="B7" s="45" t="s">
        <v>84</v>
      </c>
      <c r="C7" s="52">
        <v>158063</v>
      </c>
      <c r="D7" s="52">
        <v>169343</v>
      </c>
      <c r="E7" s="52">
        <v>169322</v>
      </c>
      <c r="F7" s="52">
        <v>157296</v>
      </c>
      <c r="G7" s="52">
        <v>154545</v>
      </c>
      <c r="H7" s="52">
        <v>141694</v>
      </c>
      <c r="I7" s="52">
        <v>142906</v>
      </c>
      <c r="J7" s="52">
        <v>154416</v>
      </c>
      <c r="K7" s="52">
        <v>206559</v>
      </c>
      <c r="L7" s="52">
        <v>211345</v>
      </c>
    </row>
    <row r="8" spans="1:13" x14ac:dyDescent="0.35">
      <c r="A8" s="42">
        <v>7</v>
      </c>
      <c r="B8" s="43" t="s">
        <v>82</v>
      </c>
      <c r="C8" s="53">
        <v>170131</v>
      </c>
      <c r="D8" s="53">
        <v>162257</v>
      </c>
      <c r="E8" s="53">
        <v>166720</v>
      </c>
      <c r="F8" s="53">
        <v>163921</v>
      </c>
      <c r="G8" s="53">
        <v>163382</v>
      </c>
      <c r="H8" s="53">
        <v>107817</v>
      </c>
      <c r="I8" s="53">
        <v>123256</v>
      </c>
      <c r="J8" s="53">
        <v>151899</v>
      </c>
      <c r="K8" s="53">
        <v>202260</v>
      </c>
      <c r="L8" s="53">
        <v>217729</v>
      </c>
    </row>
    <row r="9" spans="1:13" x14ac:dyDescent="0.35">
      <c r="A9" s="44">
        <v>8</v>
      </c>
      <c r="B9" s="45" t="s">
        <v>83</v>
      </c>
      <c r="C9" s="52">
        <v>25570</v>
      </c>
      <c r="D9" s="52">
        <v>24094</v>
      </c>
      <c r="E9" s="52">
        <v>27435</v>
      </c>
      <c r="F9" s="52">
        <v>32137</v>
      </c>
      <c r="G9" s="52">
        <v>44953</v>
      </c>
      <c r="H9" s="52">
        <v>34474</v>
      </c>
      <c r="I9" s="52">
        <v>34360</v>
      </c>
      <c r="J9" s="52">
        <v>44853</v>
      </c>
      <c r="K9" s="52">
        <v>60669</v>
      </c>
      <c r="L9" s="52">
        <v>74166</v>
      </c>
    </row>
    <row r="10" spans="1:13" x14ac:dyDescent="0.35">
      <c r="A10" s="42">
        <v>9</v>
      </c>
      <c r="B10" s="43" t="s">
        <v>85</v>
      </c>
      <c r="C10" s="53">
        <v>159788</v>
      </c>
      <c r="D10" s="53">
        <v>156991</v>
      </c>
      <c r="E10" s="53">
        <v>160859</v>
      </c>
      <c r="F10" s="53">
        <v>152005</v>
      </c>
      <c r="G10" s="53">
        <v>153093</v>
      </c>
      <c r="H10" s="53">
        <v>161347</v>
      </c>
      <c r="I10" s="53">
        <v>161541</v>
      </c>
      <c r="J10" s="53">
        <v>165101</v>
      </c>
      <c r="K10" s="53">
        <v>216223</v>
      </c>
      <c r="L10" s="53">
        <v>240303</v>
      </c>
      <c r="M10" s="46"/>
    </row>
    <row r="11" spans="1:13" x14ac:dyDescent="0.35">
      <c r="A11" s="44">
        <v>10</v>
      </c>
      <c r="B11" s="45" t="s">
        <v>86</v>
      </c>
      <c r="C11" s="52">
        <v>37642</v>
      </c>
      <c r="D11" s="52">
        <v>33589</v>
      </c>
      <c r="E11" s="52">
        <v>35640</v>
      </c>
      <c r="F11" s="52">
        <v>32939</v>
      </c>
      <c r="G11" s="52">
        <v>36084</v>
      </c>
      <c r="H11" s="52">
        <v>29187</v>
      </c>
      <c r="I11" s="52">
        <v>30522</v>
      </c>
      <c r="J11" s="52">
        <v>34337</v>
      </c>
      <c r="K11" s="52">
        <v>37735</v>
      </c>
      <c r="L11" s="52">
        <v>43312</v>
      </c>
    </row>
    <row r="12" spans="1:13" x14ac:dyDescent="0.35">
      <c r="A12" s="42">
        <v>11</v>
      </c>
      <c r="B12" s="43" t="s">
        <v>90</v>
      </c>
      <c r="C12" s="53">
        <v>38789</v>
      </c>
      <c r="D12" s="53">
        <v>37509</v>
      </c>
      <c r="E12" s="53">
        <v>38078</v>
      </c>
      <c r="F12" s="53">
        <v>32699</v>
      </c>
      <c r="G12" s="53">
        <v>33144</v>
      </c>
      <c r="H12" s="53">
        <v>28158</v>
      </c>
      <c r="I12" s="53">
        <v>28054</v>
      </c>
      <c r="J12" s="53">
        <v>30849</v>
      </c>
      <c r="K12" s="53">
        <v>41410</v>
      </c>
      <c r="L12" s="53">
        <v>50897</v>
      </c>
    </row>
    <row r="13" spans="1:13" x14ac:dyDescent="0.35">
      <c r="A13" s="44">
        <v>12</v>
      </c>
      <c r="B13" s="49" t="s">
        <v>91</v>
      </c>
      <c r="C13" s="54">
        <v>36129</v>
      </c>
      <c r="D13" s="54">
        <v>33327</v>
      </c>
      <c r="E13" s="54">
        <v>38416</v>
      </c>
      <c r="F13" s="54">
        <v>39646</v>
      </c>
      <c r="G13" s="54">
        <v>41079</v>
      </c>
      <c r="H13" s="54">
        <v>34358</v>
      </c>
      <c r="I13" s="54">
        <v>35531</v>
      </c>
      <c r="J13" s="54">
        <v>42549</v>
      </c>
      <c r="K13" s="54">
        <v>51869</v>
      </c>
      <c r="L13" s="54">
        <v>57155</v>
      </c>
    </row>
    <row r="14" spans="1:13" x14ac:dyDescent="0.35">
      <c r="A14" s="42">
        <v>13</v>
      </c>
      <c r="B14" s="47" t="s">
        <v>92</v>
      </c>
      <c r="C14" s="51">
        <v>62487</v>
      </c>
      <c r="D14" s="51">
        <v>59559</v>
      </c>
      <c r="E14" s="51">
        <v>63083</v>
      </c>
      <c r="F14" s="51">
        <v>56337</v>
      </c>
      <c r="G14" s="51">
        <v>51487</v>
      </c>
      <c r="H14" s="51">
        <v>42380</v>
      </c>
      <c r="I14" s="51">
        <v>47636</v>
      </c>
      <c r="J14" s="51">
        <v>56906</v>
      </c>
      <c r="K14" s="51">
        <v>72439</v>
      </c>
      <c r="L14" s="51">
        <v>71351</v>
      </c>
    </row>
    <row r="15" spans="1:13" x14ac:dyDescent="0.35">
      <c r="A15" s="44">
        <v>14</v>
      </c>
      <c r="B15" s="49" t="s">
        <v>93</v>
      </c>
      <c r="C15" s="54">
        <v>22381</v>
      </c>
      <c r="D15" s="54">
        <v>23264</v>
      </c>
      <c r="E15" s="54">
        <v>22046</v>
      </c>
      <c r="F15" s="54">
        <v>19487</v>
      </c>
      <c r="G15" s="54">
        <v>18981</v>
      </c>
      <c r="H15" s="54">
        <v>18331</v>
      </c>
      <c r="I15" s="54">
        <v>18831</v>
      </c>
      <c r="J15" s="54">
        <v>18596</v>
      </c>
      <c r="K15" s="54">
        <v>18532</v>
      </c>
      <c r="L15" s="54">
        <v>20080</v>
      </c>
    </row>
    <row r="16" spans="1:13" x14ac:dyDescent="0.35">
      <c r="A16" s="42">
        <v>15</v>
      </c>
      <c r="B16" s="47" t="s">
        <v>94</v>
      </c>
      <c r="C16" s="51">
        <v>44627</v>
      </c>
      <c r="D16" s="51">
        <v>41751</v>
      </c>
      <c r="E16" s="51">
        <v>42020</v>
      </c>
      <c r="F16" s="51">
        <v>39150</v>
      </c>
      <c r="G16" s="51">
        <v>43828</v>
      </c>
      <c r="H16" s="51">
        <v>30909</v>
      </c>
      <c r="I16" s="51">
        <v>37173</v>
      </c>
      <c r="J16" s="51">
        <v>46314</v>
      </c>
      <c r="K16" s="51">
        <v>51976</v>
      </c>
      <c r="L16" s="51">
        <v>54426</v>
      </c>
      <c r="M16" s="46"/>
    </row>
    <row r="17" spans="1:23" x14ac:dyDescent="0.35">
      <c r="A17" s="44">
        <v>16</v>
      </c>
      <c r="B17" s="49" t="s">
        <v>95</v>
      </c>
      <c r="C17" s="54">
        <v>27050</v>
      </c>
      <c r="D17" s="54">
        <v>29281</v>
      </c>
      <c r="E17" s="54">
        <v>26713</v>
      </c>
      <c r="F17" s="54">
        <v>24528</v>
      </c>
      <c r="G17" s="54">
        <v>25221</v>
      </c>
      <c r="H17" s="54">
        <v>23468</v>
      </c>
      <c r="I17" s="54">
        <v>22995</v>
      </c>
      <c r="J17" s="54">
        <v>19737</v>
      </c>
      <c r="K17" s="54">
        <v>27219</v>
      </c>
      <c r="L17" s="54">
        <v>29170</v>
      </c>
    </row>
    <row r="18" spans="1:23" x14ac:dyDescent="0.35">
      <c r="A18" s="42">
        <v>17</v>
      </c>
      <c r="B18" s="47" t="s">
        <v>96</v>
      </c>
      <c r="C18" s="51">
        <v>26341</v>
      </c>
      <c r="D18" s="51">
        <v>26481</v>
      </c>
      <c r="E18" s="51">
        <v>26678</v>
      </c>
      <c r="F18" s="51">
        <v>20875</v>
      </c>
      <c r="G18" s="51">
        <v>20299</v>
      </c>
      <c r="H18" s="51">
        <v>16780</v>
      </c>
      <c r="I18" s="51">
        <v>18495</v>
      </c>
      <c r="J18" s="51">
        <v>23064</v>
      </c>
      <c r="K18" s="51">
        <v>29665</v>
      </c>
      <c r="L18" s="51">
        <v>31108</v>
      </c>
    </row>
    <row r="19" spans="1:23" x14ac:dyDescent="0.35">
      <c r="A19" s="44">
        <v>18</v>
      </c>
      <c r="B19" s="49" t="s">
        <v>97</v>
      </c>
      <c r="C19" s="54">
        <v>25185</v>
      </c>
      <c r="D19" s="54">
        <v>25601</v>
      </c>
      <c r="E19" s="54">
        <v>25830</v>
      </c>
      <c r="F19" s="54">
        <v>24164</v>
      </c>
      <c r="G19" s="54">
        <v>26336</v>
      </c>
      <c r="H19" s="54">
        <v>18542</v>
      </c>
      <c r="I19" s="54">
        <v>20013</v>
      </c>
      <c r="J19" s="54">
        <v>25710</v>
      </c>
      <c r="K19" s="54">
        <v>32742</v>
      </c>
      <c r="L19" s="54">
        <v>35800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3" x14ac:dyDescent="0.35">
      <c r="C20" s="55"/>
      <c r="D20" s="55"/>
      <c r="E20" s="55"/>
      <c r="F20" s="55"/>
      <c r="G20" s="55"/>
      <c r="H20" s="55"/>
      <c r="I20" s="55"/>
      <c r="J20" s="55"/>
      <c r="K20" s="55"/>
      <c r="L20" s="55"/>
    </row>
    <row r="21" spans="1:23" x14ac:dyDescent="0.35">
      <c r="B21" s="56" t="s">
        <v>98</v>
      </c>
      <c r="C21" s="57">
        <f>SUM(C2:C19)</f>
        <v>1598870</v>
      </c>
      <c r="D21" s="57">
        <f t="shared" ref="D21:K21" si="0">SUM(D2:D19)</f>
        <v>1529964</v>
      </c>
      <c r="E21" s="57">
        <f t="shared" si="0"/>
        <v>1551817</v>
      </c>
      <c r="F21" s="57">
        <f t="shared" si="0"/>
        <v>1480809</v>
      </c>
      <c r="G21" s="57">
        <f t="shared" si="0"/>
        <v>1548557</v>
      </c>
      <c r="H21" s="57">
        <f t="shared" si="0"/>
        <v>1274143</v>
      </c>
      <c r="I21" s="57">
        <f t="shared" si="0"/>
        <v>1354570</v>
      </c>
      <c r="J21" s="57">
        <f t="shared" si="0"/>
        <v>1590202</v>
      </c>
      <c r="K21" s="57">
        <f t="shared" si="0"/>
        <v>2046296</v>
      </c>
      <c r="L21" s="57">
        <f>SUM(L2:L19)</f>
        <v>2211193</v>
      </c>
    </row>
    <row r="22" spans="1:23" x14ac:dyDescent="0.35">
      <c r="B22" t="s">
        <v>100</v>
      </c>
      <c r="C22" s="60">
        <f>(C21-C21)/C21</f>
        <v>0</v>
      </c>
      <c r="D22" s="60">
        <f>(D21-C21)/C21</f>
        <v>-4.3096687035218621E-2</v>
      </c>
      <c r="E22" s="60">
        <f t="shared" ref="E22:L22" si="1">(E21-D21)/D21</f>
        <v>1.4283342614597468E-2</v>
      </c>
      <c r="F22" s="60">
        <f t="shared" si="1"/>
        <v>-4.5757972750652944E-2</v>
      </c>
      <c r="G22" s="60">
        <f t="shared" si="1"/>
        <v>4.575066737168669E-2</v>
      </c>
      <c r="H22" s="60">
        <f t="shared" si="1"/>
        <v>-0.17720626363769626</v>
      </c>
      <c r="I22" s="60">
        <f t="shared" si="1"/>
        <v>6.3122428173289807E-2</v>
      </c>
      <c r="J22" s="60">
        <f t="shared" si="1"/>
        <v>0.17395335789217242</v>
      </c>
      <c r="K22" s="60">
        <f t="shared" si="1"/>
        <v>0.28681513417792204</v>
      </c>
      <c r="L22" s="60">
        <f t="shared" si="1"/>
        <v>8.058316098941698E-2</v>
      </c>
    </row>
    <row r="23" spans="1:23" x14ac:dyDescent="0.35">
      <c r="B23" t="s">
        <v>99</v>
      </c>
      <c r="C23" s="60">
        <f>(C21-$C$21)/$C$21</f>
        <v>0</v>
      </c>
      <c r="D23" s="60">
        <f t="shared" ref="D23:L23" si="2">(D21-$C$21)/$C$21</f>
        <v>-4.3096687035218621E-2</v>
      </c>
      <c r="E23" s="60">
        <f t="shared" si="2"/>
        <v>-2.9428909167099265E-2</v>
      </c>
      <c r="F23" s="60">
        <f t="shared" si="2"/>
        <v>-7.3840274694002644E-2</v>
      </c>
      <c r="G23" s="60">
        <f t="shared" si="2"/>
        <v>-3.1467849168475233E-2</v>
      </c>
      <c r="H23" s="60">
        <f t="shared" si="2"/>
        <v>-0.20309781283031142</v>
      </c>
      <c r="I23" s="60">
        <f t="shared" si="2"/>
        <v>-0.15279541175955519</v>
      </c>
      <c r="J23" s="60">
        <f t="shared" si="2"/>
        <v>-5.4213288134745165E-3</v>
      </c>
      <c r="K23" s="60">
        <f t="shared" si="2"/>
        <v>0.2798388862133882</v>
      </c>
      <c r="L23" s="60">
        <f t="shared" si="2"/>
        <v>0.38297234922163781</v>
      </c>
    </row>
  </sheetData>
  <conditionalFormatting sqref="C22:L23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ignoredErrors>
    <ignoredError sqref="L21 C21:K21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193C-4E31-4FB6-BB87-3E9B44CBC61E}">
  <sheetPr codeName="Feuil4"/>
  <dimension ref="A1:W18"/>
  <sheetViews>
    <sheetView zoomScale="64" workbookViewId="0">
      <selection activeCell="O37" sqref="O37"/>
    </sheetView>
  </sheetViews>
  <sheetFormatPr baseColWidth="10" defaultRowHeight="14.5" x14ac:dyDescent="0.35"/>
  <cols>
    <col min="1" max="1" width="2.90625" bestFit="1" customWidth="1"/>
    <col min="2" max="2" width="25.7265625" bestFit="1" customWidth="1"/>
    <col min="3" max="10" width="8.453125" bestFit="1" customWidth="1"/>
    <col min="11" max="12" width="9.81640625" bestFit="1" customWidth="1"/>
  </cols>
  <sheetData>
    <row r="1" spans="1:23" x14ac:dyDescent="0.35">
      <c r="A1" s="40"/>
      <c r="B1" s="41" t="s">
        <v>81</v>
      </c>
      <c r="C1" s="41">
        <v>2015</v>
      </c>
      <c r="D1" s="41">
        <v>2016</v>
      </c>
      <c r="E1" s="41">
        <v>2017</v>
      </c>
      <c r="F1" s="41">
        <v>2018</v>
      </c>
      <c r="G1" s="41">
        <v>2019</v>
      </c>
      <c r="H1" s="41">
        <v>2020</v>
      </c>
      <c r="I1" s="41">
        <v>2021</v>
      </c>
      <c r="J1" s="41">
        <v>2022</v>
      </c>
      <c r="K1" s="41">
        <v>2023</v>
      </c>
      <c r="L1" s="41">
        <v>2024</v>
      </c>
    </row>
    <row r="2" spans="1:23" x14ac:dyDescent="0.35">
      <c r="A2" s="50">
        <v>1</v>
      </c>
      <c r="B2" s="47" t="s">
        <v>101</v>
      </c>
      <c r="C2" s="58">
        <v>174714</v>
      </c>
      <c r="D2" s="58">
        <v>167823</v>
      </c>
      <c r="E2" s="58">
        <v>174344</v>
      </c>
      <c r="F2" s="58">
        <v>168440</v>
      </c>
      <c r="G2" s="58">
        <v>183583</v>
      </c>
      <c r="H2" s="58">
        <v>118983</v>
      </c>
      <c r="I2" s="58">
        <v>141991</v>
      </c>
      <c r="J2" s="58">
        <v>186927</v>
      </c>
      <c r="K2" s="58">
        <v>234086</v>
      </c>
      <c r="L2" s="58">
        <v>253994</v>
      </c>
    </row>
    <row r="3" spans="1:23" x14ac:dyDescent="0.35">
      <c r="A3" s="59">
        <v>2</v>
      </c>
      <c r="B3" s="49" t="s">
        <v>4</v>
      </c>
      <c r="C3" s="54">
        <v>67839</v>
      </c>
      <c r="D3" s="54">
        <v>64665</v>
      </c>
      <c r="E3" s="54">
        <v>68285</v>
      </c>
      <c r="F3" s="54">
        <v>68939</v>
      </c>
      <c r="G3" s="54">
        <v>68825</v>
      </c>
      <c r="H3" s="54">
        <v>50329</v>
      </c>
      <c r="I3" s="54">
        <v>51329</v>
      </c>
      <c r="J3" s="54">
        <v>65893</v>
      </c>
      <c r="K3" s="54">
        <v>86402</v>
      </c>
      <c r="L3" s="54">
        <v>94806</v>
      </c>
    </row>
    <row r="4" spans="1:23" x14ac:dyDescent="0.35">
      <c r="A4" s="50">
        <v>3</v>
      </c>
      <c r="B4" s="47" t="s">
        <v>3</v>
      </c>
      <c r="C4" s="51">
        <v>258783</v>
      </c>
      <c r="D4" s="51">
        <v>257549</v>
      </c>
      <c r="E4" s="51">
        <v>260987</v>
      </c>
      <c r="F4" s="51">
        <v>259569</v>
      </c>
      <c r="G4" s="51">
        <v>298568</v>
      </c>
      <c r="H4" s="51">
        <v>204231</v>
      </c>
      <c r="I4" s="51">
        <v>232620</v>
      </c>
      <c r="J4" s="51">
        <v>303384</v>
      </c>
      <c r="K4" s="51">
        <v>367349</v>
      </c>
      <c r="L4" s="51">
        <v>396239</v>
      </c>
    </row>
    <row r="5" spans="1:23" x14ac:dyDescent="0.35">
      <c r="A5" s="59">
        <v>4</v>
      </c>
      <c r="B5" s="49" t="s">
        <v>102</v>
      </c>
      <c r="C5" s="54">
        <v>43876</v>
      </c>
      <c r="D5" s="54">
        <v>45192</v>
      </c>
      <c r="E5" s="54">
        <v>48062</v>
      </c>
      <c r="F5" s="54">
        <v>46533</v>
      </c>
      <c r="G5" s="54">
        <v>52673</v>
      </c>
      <c r="H5" s="54">
        <v>34582</v>
      </c>
      <c r="I5" s="54">
        <v>41128</v>
      </c>
      <c r="J5" s="54">
        <v>52212</v>
      </c>
      <c r="K5" s="54">
        <v>62329</v>
      </c>
      <c r="L5" s="54">
        <v>65357</v>
      </c>
    </row>
    <row r="6" spans="1:23" x14ac:dyDescent="0.35">
      <c r="A6" s="50">
        <v>5</v>
      </c>
      <c r="B6" s="47" t="s">
        <v>103</v>
      </c>
      <c r="C6" s="51">
        <v>49348</v>
      </c>
      <c r="D6" s="51">
        <v>48339</v>
      </c>
      <c r="E6" s="51">
        <v>51771</v>
      </c>
      <c r="F6" s="51">
        <v>53512</v>
      </c>
      <c r="G6" s="51">
        <v>56389</v>
      </c>
      <c r="H6" s="51">
        <v>41381</v>
      </c>
      <c r="I6" s="51">
        <v>50090</v>
      </c>
      <c r="J6" s="51">
        <v>60453</v>
      </c>
      <c r="K6" s="51">
        <v>78126</v>
      </c>
      <c r="L6" s="51">
        <v>82580</v>
      </c>
    </row>
    <row r="7" spans="1:23" x14ac:dyDescent="0.35">
      <c r="A7" s="59">
        <v>6</v>
      </c>
      <c r="B7" s="49" t="s">
        <v>104</v>
      </c>
      <c r="C7" s="54">
        <v>182304</v>
      </c>
      <c r="D7" s="54">
        <v>185281</v>
      </c>
      <c r="E7" s="54">
        <v>198871</v>
      </c>
      <c r="F7" s="54">
        <v>194040</v>
      </c>
      <c r="G7" s="54">
        <v>208277</v>
      </c>
      <c r="H7" s="54">
        <v>156200</v>
      </c>
      <c r="I7" s="54">
        <v>182401</v>
      </c>
      <c r="J7" s="54">
        <v>238593</v>
      </c>
      <c r="K7" s="54">
        <v>317532</v>
      </c>
      <c r="L7" s="54">
        <v>316012</v>
      </c>
    </row>
    <row r="8" spans="1:23" x14ac:dyDescent="0.35">
      <c r="A8" s="50">
        <v>7</v>
      </c>
      <c r="B8" s="47" t="s">
        <v>105</v>
      </c>
      <c r="C8" s="51">
        <v>47744</v>
      </c>
      <c r="D8" s="51">
        <v>53434</v>
      </c>
      <c r="E8" s="51">
        <v>56497</v>
      </c>
      <c r="F8" s="51">
        <v>51605</v>
      </c>
      <c r="G8" s="51">
        <v>51225</v>
      </c>
      <c r="H8" s="51">
        <v>46806</v>
      </c>
      <c r="I8" s="51">
        <v>54133</v>
      </c>
      <c r="J8" s="51">
        <v>58589</v>
      </c>
      <c r="K8" s="51">
        <v>75686</v>
      </c>
      <c r="L8" s="51">
        <v>82428</v>
      </c>
    </row>
    <row r="9" spans="1:23" x14ac:dyDescent="0.35">
      <c r="A9" s="50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spans="1:23" x14ac:dyDescent="0.35">
      <c r="A10" s="50"/>
      <c r="B10" s="56" t="s">
        <v>98</v>
      </c>
      <c r="C10" s="57">
        <f>SUM(C2:C8)</f>
        <v>824608</v>
      </c>
      <c r="D10" s="57">
        <f t="shared" ref="D10:L10" si="0">SUM(D2:D8)</f>
        <v>822283</v>
      </c>
      <c r="E10" s="57">
        <f t="shared" si="0"/>
        <v>858817</v>
      </c>
      <c r="F10" s="57">
        <f t="shared" si="0"/>
        <v>842638</v>
      </c>
      <c r="G10" s="57">
        <f t="shared" si="0"/>
        <v>919540</v>
      </c>
      <c r="H10" s="57">
        <f t="shared" si="0"/>
        <v>652512</v>
      </c>
      <c r="I10" s="57">
        <f t="shared" si="0"/>
        <v>753692</v>
      </c>
      <c r="J10" s="57">
        <f t="shared" si="0"/>
        <v>966051</v>
      </c>
      <c r="K10" s="57">
        <f t="shared" si="0"/>
        <v>1221510</v>
      </c>
      <c r="L10" s="57">
        <f t="shared" si="0"/>
        <v>1291416</v>
      </c>
    </row>
    <row r="11" spans="1:23" x14ac:dyDescent="0.35">
      <c r="A11" s="50"/>
      <c r="B11" t="s">
        <v>100</v>
      </c>
      <c r="C11" s="60">
        <f>(C10-C10)/C10</f>
        <v>0</v>
      </c>
      <c r="D11" s="60">
        <f>(D10-C10)/C10</f>
        <v>-2.8195215181031474E-3</v>
      </c>
      <c r="E11" s="60">
        <f t="shared" ref="E11:L11" si="1">(E10-D10)/D10</f>
        <v>4.4429959028704231E-2</v>
      </c>
      <c r="F11" s="60">
        <f t="shared" si="1"/>
        <v>-1.8838704869605514E-2</v>
      </c>
      <c r="G11" s="60">
        <f t="shared" si="1"/>
        <v>9.1263389498218689E-2</v>
      </c>
      <c r="H11" s="60">
        <f t="shared" si="1"/>
        <v>-0.29039302259825567</v>
      </c>
      <c r="I11" s="60">
        <f t="shared" si="1"/>
        <v>0.15506228237948114</v>
      </c>
      <c r="J11" s="60">
        <f t="shared" si="1"/>
        <v>0.28175833098931657</v>
      </c>
      <c r="K11" s="60">
        <f t="shared" si="1"/>
        <v>0.26443634963371498</v>
      </c>
      <c r="L11" s="60">
        <f t="shared" si="1"/>
        <v>5.7229167178328461E-2</v>
      </c>
    </row>
    <row r="12" spans="1:23" x14ac:dyDescent="0.35">
      <c r="A12" s="50"/>
      <c r="B12" t="s">
        <v>99</v>
      </c>
      <c r="C12" s="60">
        <f>(C10-$C$10)/$C$10</f>
        <v>0</v>
      </c>
      <c r="D12" s="60">
        <f t="shared" ref="D12:L12" si="2">(D10-$C$10)/$C$10</f>
        <v>-2.8195215181031474E-3</v>
      </c>
      <c r="E12" s="60">
        <f t="shared" si="2"/>
        <v>4.1485166285071207E-2</v>
      </c>
      <c r="F12" s="60">
        <f t="shared" si="2"/>
        <v>2.186493461135473E-2</v>
      </c>
      <c r="G12" s="60">
        <f t="shared" si="2"/>
        <v>0.11512379215336256</v>
      </c>
      <c r="H12" s="60">
        <f t="shared" si="2"/>
        <v>-0.20870037642128139</v>
      </c>
      <c r="I12" s="60">
        <f t="shared" si="2"/>
        <v>-8.599965074314099E-2</v>
      </c>
      <c r="J12" s="60">
        <f t="shared" si="2"/>
        <v>0.17152756218712406</v>
      </c>
      <c r="K12" s="60">
        <f t="shared" si="2"/>
        <v>0.48132203422717218</v>
      </c>
      <c r="L12" s="60">
        <f t="shared" si="2"/>
        <v>0.56609686056890063</v>
      </c>
    </row>
    <row r="13" spans="1:23" x14ac:dyDescent="0.35">
      <c r="A13" s="50"/>
    </row>
    <row r="14" spans="1:23" x14ac:dyDescent="0.35">
      <c r="A14" s="50"/>
    </row>
    <row r="15" spans="1:23" x14ac:dyDescent="0.35">
      <c r="A15" s="50"/>
    </row>
    <row r="16" spans="1:23" x14ac:dyDescent="0.35">
      <c r="A16" s="50"/>
    </row>
    <row r="17" spans="1:1" x14ac:dyDescent="0.35">
      <c r="A17" s="50"/>
    </row>
    <row r="18" spans="1:1" x14ac:dyDescent="0.35">
      <c r="A18" s="50"/>
    </row>
  </sheetData>
  <conditionalFormatting sqref="C11:L12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ignoredErrors>
    <ignoredError sqref="C10:L10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9971-0D3E-403B-8AB5-AB10039EC0E3}">
  <sheetPr>
    <pageSetUpPr fitToPage="1"/>
  </sheetPr>
  <dimension ref="A1:M63"/>
  <sheetViews>
    <sheetView topLeftCell="A44" workbookViewId="0">
      <selection activeCell="K68" sqref="K68"/>
    </sheetView>
  </sheetViews>
  <sheetFormatPr baseColWidth="10" defaultRowHeight="14.5" x14ac:dyDescent="0.35"/>
  <cols>
    <col min="1" max="1" width="2.81640625" bestFit="1" customWidth="1"/>
    <col min="2" max="2" width="25.7265625" bestFit="1" customWidth="1"/>
    <col min="3" max="12" width="10.81640625" bestFit="1" customWidth="1"/>
    <col min="13" max="13" width="6.81640625" bestFit="1" customWidth="1"/>
  </cols>
  <sheetData>
    <row r="1" spans="1:13" x14ac:dyDescent="0.35">
      <c r="B1" s="41" t="s">
        <v>81</v>
      </c>
      <c r="C1" s="41">
        <v>2015</v>
      </c>
      <c r="D1" s="41">
        <v>2016</v>
      </c>
      <c r="E1" s="41">
        <v>2017</v>
      </c>
      <c r="F1" s="41">
        <v>2018</v>
      </c>
      <c r="G1" s="41">
        <v>2019</v>
      </c>
      <c r="H1" s="41">
        <v>2020</v>
      </c>
      <c r="I1" s="41">
        <v>2021</v>
      </c>
      <c r="J1" s="41">
        <v>2022</v>
      </c>
      <c r="K1" s="41">
        <v>2023</v>
      </c>
      <c r="L1" s="41">
        <v>2024</v>
      </c>
      <c r="M1" s="115" t="s">
        <v>138</v>
      </c>
    </row>
    <row r="2" spans="1:13" x14ac:dyDescent="0.35">
      <c r="A2" s="50">
        <v>1</v>
      </c>
      <c r="B2" s="51" t="s">
        <v>7</v>
      </c>
      <c r="C2" s="51">
        <v>5017072</v>
      </c>
      <c r="D2" s="51">
        <v>4946420</v>
      </c>
      <c r="E2" s="51">
        <v>5174727</v>
      </c>
      <c r="F2" s="51">
        <v>5055333</v>
      </c>
      <c r="G2" s="51">
        <v>5320370</v>
      </c>
      <c r="H2" s="51">
        <v>3408899</v>
      </c>
      <c r="I2" s="51">
        <v>4074689</v>
      </c>
      <c r="J2" s="51">
        <v>5056324</v>
      </c>
      <c r="K2" s="51">
        <v>5637668</v>
      </c>
      <c r="L2" s="51">
        <v>5702065</v>
      </c>
      <c r="M2" s="62">
        <f>L2/SUM($L$2:$L$59)</f>
        <v>0.31682762812105969</v>
      </c>
    </row>
    <row r="3" spans="1:13" x14ac:dyDescent="0.35">
      <c r="A3" s="59">
        <v>2</v>
      </c>
      <c r="B3" s="54" t="s">
        <v>28</v>
      </c>
      <c r="C3" s="54">
        <v>3586247</v>
      </c>
      <c r="D3" s="54">
        <v>3589253</v>
      </c>
      <c r="E3" s="54">
        <v>3887862</v>
      </c>
      <c r="F3" s="54">
        <v>3950944</v>
      </c>
      <c r="G3" s="54">
        <v>4200762</v>
      </c>
      <c r="H3" s="54">
        <v>2566878</v>
      </c>
      <c r="I3" s="54">
        <v>3186895</v>
      </c>
      <c r="J3" s="54">
        <v>4103990</v>
      </c>
      <c r="K3" s="54">
        <v>4728720</v>
      </c>
      <c r="L3" s="54">
        <v>4974388</v>
      </c>
      <c r="M3" s="63">
        <f t="shared" ref="M3:M59" si="0">L3/SUM($L$2:$L$59)</f>
        <v>0.27639522723677507</v>
      </c>
    </row>
    <row r="4" spans="1:13" x14ac:dyDescent="0.35">
      <c r="A4" s="50">
        <v>3</v>
      </c>
      <c r="B4" s="51" t="s">
        <v>126</v>
      </c>
      <c r="C4" s="51">
        <v>1116797</v>
      </c>
      <c r="D4" s="51">
        <v>1122561</v>
      </c>
      <c r="E4" s="51">
        <v>1196624</v>
      </c>
      <c r="F4" s="51">
        <v>1213711</v>
      </c>
      <c r="G4" s="51">
        <v>1371971</v>
      </c>
      <c r="H4" s="51">
        <v>872620</v>
      </c>
      <c r="I4" s="51">
        <v>978040</v>
      </c>
      <c r="J4" s="51">
        <v>1306485</v>
      </c>
      <c r="K4" s="51">
        <v>1558677</v>
      </c>
      <c r="L4" s="51">
        <v>1641385</v>
      </c>
      <c r="M4" s="64">
        <f t="shared" si="0"/>
        <v>9.1201365888232688E-2</v>
      </c>
    </row>
    <row r="5" spans="1:13" x14ac:dyDescent="0.35">
      <c r="A5" s="59">
        <v>4</v>
      </c>
      <c r="B5" s="54" t="s">
        <v>89</v>
      </c>
      <c r="C5" s="54">
        <v>419394</v>
      </c>
      <c r="D5" s="54">
        <v>396767</v>
      </c>
      <c r="E5" s="54">
        <v>391782</v>
      </c>
      <c r="F5" s="54">
        <v>372890</v>
      </c>
      <c r="G5" s="54">
        <v>400877</v>
      </c>
      <c r="H5" s="54">
        <v>351266</v>
      </c>
      <c r="I5" s="54">
        <v>364274</v>
      </c>
      <c r="J5" s="54">
        <v>421687</v>
      </c>
      <c r="K5" s="54">
        <v>561765</v>
      </c>
      <c r="L5" s="54">
        <v>605938</v>
      </c>
      <c r="M5" s="65">
        <f t="shared" si="0"/>
        <v>3.3668135899611575E-2</v>
      </c>
    </row>
    <row r="6" spans="1:13" x14ac:dyDescent="0.35">
      <c r="A6" s="50">
        <v>5</v>
      </c>
      <c r="B6" s="51" t="s">
        <v>3</v>
      </c>
      <c r="C6" s="51">
        <v>258783</v>
      </c>
      <c r="D6" s="51">
        <v>257549</v>
      </c>
      <c r="E6" s="51">
        <v>260987</v>
      </c>
      <c r="F6" s="51">
        <v>259569</v>
      </c>
      <c r="G6" s="51">
        <v>298568</v>
      </c>
      <c r="H6" s="51">
        <v>204231</v>
      </c>
      <c r="I6" s="51">
        <v>232620</v>
      </c>
      <c r="J6" s="51">
        <v>303384</v>
      </c>
      <c r="K6" s="51">
        <v>367349</v>
      </c>
      <c r="L6" s="51">
        <v>396239</v>
      </c>
      <c r="M6" s="66">
        <f t="shared" si="0"/>
        <v>2.201649096231989E-2</v>
      </c>
    </row>
    <row r="7" spans="1:13" x14ac:dyDescent="0.35">
      <c r="A7" s="59">
        <v>6</v>
      </c>
      <c r="B7" s="54" t="s">
        <v>113</v>
      </c>
      <c r="C7" s="54">
        <v>284515</v>
      </c>
      <c r="D7" s="54">
        <v>286839</v>
      </c>
      <c r="E7" s="54">
        <v>310531</v>
      </c>
      <c r="F7" s="54">
        <v>303746</v>
      </c>
      <c r="G7" s="54">
        <v>322676</v>
      </c>
      <c r="H7" s="54">
        <v>217365</v>
      </c>
      <c r="I7" s="54">
        <v>250081</v>
      </c>
      <c r="J7" s="54">
        <v>292711</v>
      </c>
      <c r="K7" s="54">
        <v>337401</v>
      </c>
      <c r="L7" s="54">
        <v>368478</v>
      </c>
      <c r="M7" s="67">
        <f t="shared" si="0"/>
        <v>2.0473988064813681E-2</v>
      </c>
    </row>
    <row r="8" spans="1:13" x14ac:dyDescent="0.35">
      <c r="A8" s="50">
        <v>7</v>
      </c>
      <c r="B8" s="51" t="s">
        <v>104</v>
      </c>
      <c r="C8" s="51">
        <v>182304</v>
      </c>
      <c r="D8" s="51">
        <v>185281</v>
      </c>
      <c r="E8" s="51">
        <v>198871</v>
      </c>
      <c r="F8" s="51">
        <v>194040</v>
      </c>
      <c r="G8" s="51">
        <v>208277</v>
      </c>
      <c r="H8" s="51">
        <v>156200</v>
      </c>
      <c r="I8" s="51">
        <v>182401</v>
      </c>
      <c r="J8" s="51">
        <v>238593</v>
      </c>
      <c r="K8" s="51">
        <v>317532</v>
      </c>
      <c r="L8" s="51">
        <v>316012</v>
      </c>
      <c r="M8" s="68">
        <f t="shared" si="0"/>
        <v>1.7558784829319257E-2</v>
      </c>
    </row>
    <row r="9" spans="1:13" x14ac:dyDescent="0.35">
      <c r="A9" s="50">
        <v>8</v>
      </c>
      <c r="B9" s="54" t="s">
        <v>115</v>
      </c>
      <c r="C9" s="54">
        <v>274483</v>
      </c>
      <c r="D9" s="54">
        <v>276039</v>
      </c>
      <c r="E9" s="54">
        <v>276523</v>
      </c>
      <c r="F9" s="54">
        <v>252154</v>
      </c>
      <c r="G9" s="54">
        <v>245420</v>
      </c>
      <c r="H9" s="54">
        <v>205614</v>
      </c>
      <c r="I9" s="54">
        <v>212142</v>
      </c>
      <c r="J9" s="54">
        <v>228245</v>
      </c>
      <c r="K9" s="54">
        <v>270683</v>
      </c>
      <c r="L9" s="54">
        <v>290061</v>
      </c>
      <c r="M9" s="69">
        <f t="shared" si="0"/>
        <v>1.611685216503542E-2</v>
      </c>
    </row>
    <row r="10" spans="1:13" x14ac:dyDescent="0.35">
      <c r="A10" s="59">
        <v>9</v>
      </c>
      <c r="B10" s="51" t="s">
        <v>132</v>
      </c>
      <c r="C10" s="51">
        <v>251559</v>
      </c>
      <c r="D10" s="51">
        <v>256706</v>
      </c>
      <c r="E10" s="51">
        <v>256528</v>
      </c>
      <c r="F10" s="51">
        <v>262395</v>
      </c>
      <c r="G10" s="51">
        <v>291594</v>
      </c>
      <c r="H10" s="51">
        <v>175095</v>
      </c>
      <c r="I10" s="51">
        <v>171388</v>
      </c>
      <c r="J10" s="51">
        <v>222398</v>
      </c>
      <c r="K10" s="51">
        <v>261901</v>
      </c>
      <c r="L10" s="51">
        <v>268981</v>
      </c>
      <c r="M10" s="70">
        <f t="shared" si="0"/>
        <v>1.4945570111815763E-2</v>
      </c>
    </row>
    <row r="11" spans="1:13" x14ac:dyDescent="0.35">
      <c r="A11" s="50">
        <v>10</v>
      </c>
      <c r="B11" s="54" t="s">
        <v>101</v>
      </c>
      <c r="C11" s="54">
        <v>174714</v>
      </c>
      <c r="D11" s="54">
        <v>167823</v>
      </c>
      <c r="E11" s="54">
        <v>174344</v>
      </c>
      <c r="F11" s="54">
        <v>168440</v>
      </c>
      <c r="G11" s="54">
        <v>183583</v>
      </c>
      <c r="H11" s="54">
        <v>118983</v>
      </c>
      <c r="I11" s="54">
        <v>141991</v>
      </c>
      <c r="J11" s="54">
        <v>186927</v>
      </c>
      <c r="K11" s="54">
        <v>234086</v>
      </c>
      <c r="L11" s="54">
        <v>253994</v>
      </c>
      <c r="M11" s="71">
        <f t="shared" si="0"/>
        <v>1.411283746800158E-2</v>
      </c>
    </row>
    <row r="12" spans="1:13" x14ac:dyDescent="0.35">
      <c r="A12" s="59">
        <v>11</v>
      </c>
      <c r="B12" s="51" t="s">
        <v>85</v>
      </c>
      <c r="C12" s="51">
        <v>159788</v>
      </c>
      <c r="D12" s="51">
        <v>156991</v>
      </c>
      <c r="E12" s="51">
        <v>160859</v>
      </c>
      <c r="F12" s="51">
        <v>152005</v>
      </c>
      <c r="G12" s="51">
        <v>153093</v>
      </c>
      <c r="H12" s="51">
        <v>161347</v>
      </c>
      <c r="I12" s="51">
        <v>161541</v>
      </c>
      <c r="J12" s="51">
        <v>165101</v>
      </c>
      <c r="K12" s="51">
        <v>216223</v>
      </c>
      <c r="L12" s="51">
        <v>240303</v>
      </c>
      <c r="M12" s="72">
        <f t="shared" si="0"/>
        <v>1.3352115333721205E-2</v>
      </c>
    </row>
    <row r="13" spans="1:13" x14ac:dyDescent="0.35">
      <c r="A13" s="50">
        <v>12</v>
      </c>
      <c r="B13" s="54" t="s">
        <v>130</v>
      </c>
      <c r="C13" s="54">
        <v>225468</v>
      </c>
      <c r="D13" s="54">
        <v>221431</v>
      </c>
      <c r="E13" s="54">
        <v>228017</v>
      </c>
      <c r="F13" s="54">
        <v>227801</v>
      </c>
      <c r="G13" s="54">
        <v>245909</v>
      </c>
      <c r="H13" s="54">
        <v>161472</v>
      </c>
      <c r="I13" s="54">
        <v>153811</v>
      </c>
      <c r="J13" s="54">
        <v>184145</v>
      </c>
      <c r="K13" s="54">
        <v>222700</v>
      </c>
      <c r="L13" s="54">
        <v>225132</v>
      </c>
      <c r="M13" s="73">
        <f t="shared" si="0"/>
        <v>1.2509158975590493E-2</v>
      </c>
    </row>
    <row r="14" spans="1:13" x14ac:dyDescent="0.35">
      <c r="A14" s="59">
        <v>13</v>
      </c>
      <c r="B14" s="51" t="s">
        <v>82</v>
      </c>
      <c r="C14" s="51">
        <v>170131</v>
      </c>
      <c r="D14" s="51">
        <v>162257</v>
      </c>
      <c r="E14" s="51">
        <v>166720</v>
      </c>
      <c r="F14" s="51">
        <v>163921</v>
      </c>
      <c r="G14" s="51">
        <v>163382</v>
      </c>
      <c r="H14" s="51">
        <v>107817</v>
      </c>
      <c r="I14" s="51">
        <v>123256</v>
      </c>
      <c r="J14" s="51">
        <v>151899</v>
      </c>
      <c r="K14" s="51">
        <v>202260</v>
      </c>
      <c r="L14" s="51">
        <v>217729</v>
      </c>
      <c r="M14" s="74">
        <f t="shared" si="0"/>
        <v>1.2097821165344519E-2</v>
      </c>
    </row>
    <row r="15" spans="1:13" x14ac:dyDescent="0.35">
      <c r="A15" s="50">
        <v>14</v>
      </c>
      <c r="B15" s="54" t="s">
        <v>84</v>
      </c>
      <c r="C15" s="54">
        <v>158063</v>
      </c>
      <c r="D15" s="54">
        <v>169343</v>
      </c>
      <c r="E15" s="54">
        <v>169322</v>
      </c>
      <c r="F15" s="54">
        <v>157296</v>
      </c>
      <c r="G15" s="54">
        <v>154545</v>
      </c>
      <c r="H15" s="54">
        <v>141694</v>
      </c>
      <c r="I15" s="54">
        <v>142906</v>
      </c>
      <c r="J15" s="54">
        <v>154416</v>
      </c>
      <c r="K15" s="54">
        <v>206559</v>
      </c>
      <c r="L15" s="54">
        <v>211345</v>
      </c>
      <c r="M15" s="75">
        <f t="shared" si="0"/>
        <v>1.17431027294928E-2</v>
      </c>
    </row>
    <row r="16" spans="1:13" x14ac:dyDescent="0.35">
      <c r="A16" s="50">
        <v>15</v>
      </c>
      <c r="B16" s="51" t="s">
        <v>118</v>
      </c>
      <c r="C16" s="51">
        <v>203282</v>
      </c>
      <c r="D16" s="51">
        <v>201798</v>
      </c>
      <c r="E16" s="51">
        <v>196831</v>
      </c>
      <c r="F16" s="51">
        <v>188163</v>
      </c>
      <c r="G16" s="51">
        <v>201126</v>
      </c>
      <c r="H16" s="51">
        <v>126305</v>
      </c>
      <c r="I16" s="51">
        <v>138354</v>
      </c>
      <c r="J16" s="51">
        <v>172531</v>
      </c>
      <c r="K16" s="51">
        <v>196073</v>
      </c>
      <c r="L16" s="51">
        <v>197542</v>
      </c>
      <c r="M16" s="76">
        <f t="shared" si="0"/>
        <v>1.0976157464758884E-2</v>
      </c>
    </row>
    <row r="17" spans="1:13" x14ac:dyDescent="0.35">
      <c r="A17" s="59">
        <v>16</v>
      </c>
      <c r="B17" s="54" t="s">
        <v>136</v>
      </c>
      <c r="C17" s="54">
        <v>140142</v>
      </c>
      <c r="D17" s="54">
        <v>141588</v>
      </c>
      <c r="E17" s="54">
        <v>145840</v>
      </c>
      <c r="F17" s="54">
        <v>139801</v>
      </c>
      <c r="G17" s="54">
        <v>143212</v>
      </c>
      <c r="H17" s="54">
        <v>86048</v>
      </c>
      <c r="I17" s="54">
        <v>93691</v>
      </c>
      <c r="J17" s="54">
        <v>116030</v>
      </c>
      <c r="K17" s="54">
        <v>129259</v>
      </c>
      <c r="L17" s="54">
        <v>136895</v>
      </c>
      <c r="M17" s="77">
        <f t="shared" si="0"/>
        <v>7.6063878878322964E-3</v>
      </c>
    </row>
    <row r="18" spans="1:13" x14ac:dyDescent="0.35">
      <c r="A18" s="50">
        <v>17</v>
      </c>
      <c r="B18" s="51" t="s">
        <v>137</v>
      </c>
      <c r="C18" s="51">
        <v>67659</v>
      </c>
      <c r="D18" s="51">
        <v>63746</v>
      </c>
      <c r="E18" s="51">
        <v>62013</v>
      </c>
      <c r="F18" s="51">
        <v>53955</v>
      </c>
      <c r="G18" s="51">
        <v>58513</v>
      </c>
      <c r="H18" s="51">
        <v>63288</v>
      </c>
      <c r="I18" s="51">
        <v>63302</v>
      </c>
      <c r="J18" s="51">
        <v>87369</v>
      </c>
      <c r="K18" s="51">
        <v>128021</v>
      </c>
      <c r="L18" s="51">
        <v>110993</v>
      </c>
      <c r="M18" s="78">
        <f t="shared" si="0"/>
        <v>6.1671778431218825E-3</v>
      </c>
    </row>
    <row r="19" spans="1:13" x14ac:dyDescent="0.35">
      <c r="A19" s="59">
        <v>18</v>
      </c>
      <c r="B19" s="54" t="s">
        <v>120</v>
      </c>
      <c r="C19" s="54">
        <v>90221</v>
      </c>
      <c r="D19" s="54">
        <v>90147</v>
      </c>
      <c r="E19" s="54">
        <v>100724</v>
      </c>
      <c r="F19" s="54">
        <v>98973</v>
      </c>
      <c r="G19" s="54">
        <v>109780</v>
      </c>
      <c r="H19" s="54">
        <v>73044</v>
      </c>
      <c r="I19" s="54">
        <v>85930</v>
      </c>
      <c r="J19" s="54">
        <v>97869</v>
      </c>
      <c r="K19" s="54">
        <v>109937</v>
      </c>
      <c r="L19" s="54">
        <v>110374</v>
      </c>
      <c r="M19" s="79">
        <f t="shared" si="0"/>
        <v>6.1327839346331271E-3</v>
      </c>
    </row>
    <row r="20" spans="1:13" x14ac:dyDescent="0.35">
      <c r="A20" s="50">
        <v>19</v>
      </c>
      <c r="B20" s="51" t="s">
        <v>88</v>
      </c>
      <c r="C20" s="51">
        <v>79337</v>
      </c>
      <c r="D20" s="51">
        <v>69576</v>
      </c>
      <c r="E20" s="51">
        <v>74572</v>
      </c>
      <c r="F20" s="51">
        <v>78592</v>
      </c>
      <c r="G20" s="51">
        <v>78248</v>
      </c>
      <c r="H20" s="51">
        <v>58023</v>
      </c>
      <c r="I20" s="51">
        <v>60905</v>
      </c>
      <c r="J20" s="51">
        <v>84897</v>
      </c>
      <c r="K20" s="51">
        <v>103033</v>
      </c>
      <c r="L20" s="51">
        <v>103554</v>
      </c>
      <c r="M20" s="80">
        <f t="shared" si="0"/>
        <v>5.7538397409444145E-3</v>
      </c>
    </row>
    <row r="21" spans="1:13" x14ac:dyDescent="0.35">
      <c r="A21" s="59">
        <v>20</v>
      </c>
      <c r="B21" s="54" t="s">
        <v>4</v>
      </c>
      <c r="C21" s="54">
        <v>67839</v>
      </c>
      <c r="D21" s="54">
        <v>64665</v>
      </c>
      <c r="E21" s="54">
        <v>68285</v>
      </c>
      <c r="F21" s="54">
        <v>68939</v>
      </c>
      <c r="G21" s="54">
        <v>68825</v>
      </c>
      <c r="H21" s="54">
        <v>50329</v>
      </c>
      <c r="I21" s="54">
        <v>51329</v>
      </c>
      <c r="J21" s="54">
        <v>65893</v>
      </c>
      <c r="K21" s="54">
        <v>86402</v>
      </c>
      <c r="L21" s="54">
        <v>94806</v>
      </c>
      <c r="M21" s="81">
        <f t="shared" si="0"/>
        <v>5.26776880159121E-3</v>
      </c>
    </row>
    <row r="22" spans="1:13" x14ac:dyDescent="0.35">
      <c r="A22" s="50">
        <v>21</v>
      </c>
      <c r="B22" s="51" t="s">
        <v>106</v>
      </c>
      <c r="C22" s="51">
        <v>87946</v>
      </c>
      <c r="D22" s="51">
        <v>84732</v>
      </c>
      <c r="E22" s="51">
        <v>87336</v>
      </c>
      <c r="F22" s="51">
        <v>78681</v>
      </c>
      <c r="G22" s="51">
        <v>76016</v>
      </c>
      <c r="H22" s="51">
        <v>64908</v>
      </c>
      <c r="I22" s="51">
        <v>60788</v>
      </c>
      <c r="J22" s="51">
        <v>59776</v>
      </c>
      <c r="K22" s="51">
        <v>77046</v>
      </c>
      <c r="L22" s="51">
        <v>83271</v>
      </c>
      <c r="M22" s="82">
        <f t="shared" si="0"/>
        <v>4.6268419285414603E-3</v>
      </c>
    </row>
    <row r="23" spans="1:13" x14ac:dyDescent="0.35">
      <c r="A23" s="50">
        <v>22</v>
      </c>
      <c r="B23" s="54" t="s">
        <v>103</v>
      </c>
      <c r="C23" s="54">
        <v>49348</v>
      </c>
      <c r="D23" s="54">
        <v>48339</v>
      </c>
      <c r="E23" s="54">
        <v>51771</v>
      </c>
      <c r="F23" s="54">
        <v>53512</v>
      </c>
      <c r="G23" s="54">
        <v>56389</v>
      </c>
      <c r="H23" s="54">
        <v>41381</v>
      </c>
      <c r="I23" s="54">
        <v>50090</v>
      </c>
      <c r="J23" s="54">
        <v>60453</v>
      </c>
      <c r="K23" s="54">
        <v>78126</v>
      </c>
      <c r="L23" s="54">
        <v>82580</v>
      </c>
      <c r="M23" s="83">
        <f t="shared" si="0"/>
        <v>4.5884474361897153E-3</v>
      </c>
    </row>
    <row r="24" spans="1:13" x14ac:dyDescent="0.35">
      <c r="A24" s="59">
        <v>23</v>
      </c>
      <c r="B24" s="51" t="s">
        <v>105</v>
      </c>
      <c r="C24" s="51">
        <v>47744</v>
      </c>
      <c r="D24" s="51">
        <v>53434</v>
      </c>
      <c r="E24" s="51">
        <v>56497</v>
      </c>
      <c r="F24" s="51">
        <v>51605</v>
      </c>
      <c r="G24" s="51">
        <v>51225</v>
      </c>
      <c r="H24" s="51">
        <v>46806</v>
      </c>
      <c r="I24" s="51">
        <v>54133</v>
      </c>
      <c r="J24" s="51">
        <v>58589</v>
      </c>
      <c r="K24" s="51">
        <v>75686</v>
      </c>
      <c r="L24" s="51">
        <v>82428</v>
      </c>
      <c r="M24" s="84">
        <f t="shared" si="0"/>
        <v>4.5800017591456268E-3</v>
      </c>
    </row>
    <row r="25" spans="1:13" x14ac:dyDescent="0.35">
      <c r="A25" s="50">
        <v>24</v>
      </c>
      <c r="B25" s="54" t="s">
        <v>121</v>
      </c>
      <c r="C25" s="54">
        <v>67143</v>
      </c>
      <c r="D25" s="54">
        <v>69764</v>
      </c>
      <c r="E25" s="54">
        <v>80588</v>
      </c>
      <c r="F25" s="54">
        <v>77246</v>
      </c>
      <c r="G25" s="54">
        <v>80973</v>
      </c>
      <c r="H25" s="54">
        <v>56853</v>
      </c>
      <c r="I25" s="54">
        <v>61878</v>
      </c>
      <c r="J25" s="54">
        <v>72246</v>
      </c>
      <c r="K25" s="54">
        <v>82688</v>
      </c>
      <c r="L25" s="54">
        <v>81491</v>
      </c>
      <c r="M25" s="83">
        <f t="shared" si="0"/>
        <v>4.5279386052620016E-3</v>
      </c>
    </row>
    <row r="26" spans="1:13" x14ac:dyDescent="0.35">
      <c r="A26" s="59">
        <v>25</v>
      </c>
      <c r="B26" s="51" t="s">
        <v>83</v>
      </c>
      <c r="C26" s="51">
        <v>25570</v>
      </c>
      <c r="D26" s="51">
        <v>24094</v>
      </c>
      <c r="E26" s="51">
        <v>27435</v>
      </c>
      <c r="F26" s="51">
        <v>32137</v>
      </c>
      <c r="G26" s="51">
        <v>44953</v>
      </c>
      <c r="H26" s="51">
        <v>34474</v>
      </c>
      <c r="I26" s="51">
        <v>34360</v>
      </c>
      <c r="J26" s="51">
        <v>44853</v>
      </c>
      <c r="K26" s="51">
        <v>60669</v>
      </c>
      <c r="L26" s="51">
        <v>74166</v>
      </c>
      <c r="M26" s="85">
        <f t="shared" si="0"/>
        <v>4.1209347608675995E-3</v>
      </c>
    </row>
    <row r="27" spans="1:13" x14ac:dyDescent="0.35">
      <c r="A27" s="50">
        <v>26</v>
      </c>
      <c r="B27" s="54" t="s">
        <v>6</v>
      </c>
      <c r="C27" s="54">
        <v>65370</v>
      </c>
      <c r="D27" s="54">
        <v>51734</v>
      </c>
      <c r="E27" s="54">
        <v>47464</v>
      </c>
      <c r="F27" s="54">
        <v>45475</v>
      </c>
      <c r="G27" s="54">
        <v>49250</v>
      </c>
      <c r="H27" s="54">
        <v>39886</v>
      </c>
      <c r="I27" s="54">
        <v>44604</v>
      </c>
      <c r="J27" s="54">
        <v>57921</v>
      </c>
      <c r="K27" s="54">
        <v>71747</v>
      </c>
      <c r="L27" s="54">
        <v>73987</v>
      </c>
      <c r="M27" s="86">
        <f t="shared" si="0"/>
        <v>4.1109888648748908E-3</v>
      </c>
    </row>
    <row r="28" spans="1:13" x14ac:dyDescent="0.35">
      <c r="A28" s="59">
        <v>27</v>
      </c>
      <c r="B28" s="51" t="s">
        <v>125</v>
      </c>
      <c r="C28" s="51">
        <v>52769</v>
      </c>
      <c r="D28" s="51">
        <v>60504</v>
      </c>
      <c r="E28" s="51">
        <v>59654</v>
      </c>
      <c r="F28" s="51">
        <v>56334</v>
      </c>
      <c r="G28" s="51">
        <v>64290</v>
      </c>
      <c r="H28" s="51">
        <v>40765</v>
      </c>
      <c r="I28" s="51">
        <v>52379</v>
      </c>
      <c r="J28" s="51">
        <v>57948</v>
      </c>
      <c r="K28" s="51">
        <v>68943</v>
      </c>
      <c r="L28" s="51">
        <v>72702</v>
      </c>
      <c r="M28" s="85">
        <f t="shared" si="0"/>
        <v>4.0395895556534838E-3</v>
      </c>
    </row>
    <row r="29" spans="1:13" x14ac:dyDescent="0.35">
      <c r="A29" s="50">
        <v>28</v>
      </c>
      <c r="B29" s="54" t="s">
        <v>92</v>
      </c>
      <c r="C29" s="54">
        <v>62487</v>
      </c>
      <c r="D29" s="54">
        <v>59559</v>
      </c>
      <c r="E29" s="54">
        <v>63083</v>
      </c>
      <c r="F29" s="54">
        <v>56337</v>
      </c>
      <c r="G29" s="54">
        <v>51487</v>
      </c>
      <c r="H29" s="54">
        <v>42380</v>
      </c>
      <c r="I29" s="54">
        <v>47636</v>
      </c>
      <c r="J29" s="54">
        <v>56906</v>
      </c>
      <c r="K29" s="54">
        <v>72439</v>
      </c>
      <c r="L29" s="54">
        <v>71351</v>
      </c>
      <c r="M29" s="86">
        <f t="shared" si="0"/>
        <v>3.9645230445576694E-3</v>
      </c>
    </row>
    <row r="30" spans="1:13" x14ac:dyDescent="0.35">
      <c r="A30" s="50">
        <v>29</v>
      </c>
      <c r="B30" s="51" t="s">
        <v>135</v>
      </c>
      <c r="C30" s="51">
        <v>52073</v>
      </c>
      <c r="D30" s="51">
        <v>52591</v>
      </c>
      <c r="E30" s="51">
        <v>61441</v>
      </c>
      <c r="F30" s="51">
        <v>72961</v>
      </c>
      <c r="G30" s="51">
        <v>78865</v>
      </c>
      <c r="H30" s="51">
        <v>49498</v>
      </c>
      <c r="I30" s="51">
        <v>56796</v>
      </c>
      <c r="J30" s="51">
        <v>68267</v>
      </c>
      <c r="K30" s="51">
        <v>74110</v>
      </c>
      <c r="L30" s="51">
        <v>70611</v>
      </c>
      <c r="M30" s="85">
        <f t="shared" si="0"/>
        <v>3.9234059326325012E-3</v>
      </c>
    </row>
    <row r="31" spans="1:13" x14ac:dyDescent="0.35">
      <c r="A31" s="59">
        <v>30</v>
      </c>
      <c r="B31" s="54" t="s">
        <v>128</v>
      </c>
      <c r="C31" s="54">
        <v>66614</v>
      </c>
      <c r="D31" s="54">
        <v>65268</v>
      </c>
      <c r="E31" s="54">
        <v>65992</v>
      </c>
      <c r="F31" s="54">
        <v>62744</v>
      </c>
      <c r="G31" s="54">
        <v>54194</v>
      </c>
      <c r="H31" s="54">
        <v>45391</v>
      </c>
      <c r="I31" s="54">
        <v>50116</v>
      </c>
      <c r="J31" s="54">
        <v>50970</v>
      </c>
      <c r="K31" s="54">
        <v>59233</v>
      </c>
      <c r="L31" s="54">
        <v>68257</v>
      </c>
      <c r="M31" s="86">
        <f t="shared" si="0"/>
        <v>3.7926090657786557E-3</v>
      </c>
    </row>
    <row r="32" spans="1:13" x14ac:dyDescent="0.35">
      <c r="A32" s="50">
        <v>31</v>
      </c>
      <c r="B32" s="51" t="s">
        <v>102</v>
      </c>
      <c r="C32" s="51">
        <v>43876</v>
      </c>
      <c r="D32" s="51">
        <v>45192</v>
      </c>
      <c r="E32" s="51">
        <v>48062</v>
      </c>
      <c r="F32" s="51">
        <v>46533</v>
      </c>
      <c r="G32" s="51">
        <v>52673</v>
      </c>
      <c r="H32" s="51">
        <v>34582</v>
      </c>
      <c r="I32" s="51">
        <v>41128</v>
      </c>
      <c r="J32" s="51">
        <v>52212</v>
      </c>
      <c r="K32" s="51">
        <v>62329</v>
      </c>
      <c r="L32" s="51">
        <v>65357</v>
      </c>
      <c r="M32" s="87">
        <f t="shared" si="0"/>
        <v>3.6314744379638071E-3</v>
      </c>
    </row>
    <row r="33" spans="1:13" x14ac:dyDescent="0.35">
      <c r="A33" s="59">
        <v>32</v>
      </c>
      <c r="B33" s="54" t="s">
        <v>91</v>
      </c>
      <c r="C33" s="54">
        <v>36129</v>
      </c>
      <c r="D33" s="54">
        <v>33327</v>
      </c>
      <c r="E33" s="54">
        <v>38416</v>
      </c>
      <c r="F33" s="54">
        <v>39646</v>
      </c>
      <c r="G33" s="54">
        <v>41079</v>
      </c>
      <c r="H33" s="54">
        <v>34358</v>
      </c>
      <c r="I33" s="54">
        <v>35531</v>
      </c>
      <c r="J33" s="54">
        <v>42549</v>
      </c>
      <c r="K33" s="54">
        <v>51869</v>
      </c>
      <c r="L33" s="54">
        <v>57155</v>
      </c>
      <c r="M33" s="88">
        <f t="shared" si="0"/>
        <v>3.1757412595716052E-3</v>
      </c>
    </row>
    <row r="34" spans="1:13" x14ac:dyDescent="0.35">
      <c r="A34" s="50">
        <v>33</v>
      </c>
      <c r="B34" s="51" t="s">
        <v>94</v>
      </c>
      <c r="C34" s="51">
        <v>44627</v>
      </c>
      <c r="D34" s="51">
        <v>41751</v>
      </c>
      <c r="E34" s="51">
        <v>42020</v>
      </c>
      <c r="F34" s="51">
        <v>39150</v>
      </c>
      <c r="G34" s="51">
        <v>43828</v>
      </c>
      <c r="H34" s="51">
        <v>30909</v>
      </c>
      <c r="I34" s="51">
        <v>37173</v>
      </c>
      <c r="J34" s="51">
        <v>46314</v>
      </c>
      <c r="K34" s="51">
        <v>51976</v>
      </c>
      <c r="L34" s="51">
        <v>54426</v>
      </c>
      <c r="M34" s="89">
        <f t="shared" si="0"/>
        <v>3.0241080184313564E-3</v>
      </c>
    </row>
    <row r="35" spans="1:13" x14ac:dyDescent="0.35">
      <c r="A35" s="59">
        <v>34</v>
      </c>
      <c r="B35" s="54" t="s">
        <v>90</v>
      </c>
      <c r="C35" s="54">
        <v>38789</v>
      </c>
      <c r="D35" s="54">
        <v>37509</v>
      </c>
      <c r="E35" s="54">
        <v>38078</v>
      </c>
      <c r="F35" s="54">
        <v>32699</v>
      </c>
      <c r="G35" s="54">
        <v>33144</v>
      </c>
      <c r="H35" s="54">
        <v>28158</v>
      </c>
      <c r="I35" s="54">
        <v>28054</v>
      </c>
      <c r="J35" s="54">
        <v>30849</v>
      </c>
      <c r="K35" s="54">
        <v>41410</v>
      </c>
      <c r="L35" s="54">
        <v>50897</v>
      </c>
      <c r="M35" s="90">
        <f t="shared" si="0"/>
        <v>2.8280238454801154E-3</v>
      </c>
    </row>
    <row r="36" spans="1:13" x14ac:dyDescent="0.35">
      <c r="A36" s="50">
        <v>35</v>
      </c>
      <c r="B36" s="51" t="s">
        <v>122</v>
      </c>
      <c r="C36" s="51">
        <v>38570</v>
      </c>
      <c r="D36" s="51">
        <v>38444</v>
      </c>
      <c r="E36" s="51">
        <v>41448</v>
      </c>
      <c r="F36" s="51">
        <v>36849</v>
      </c>
      <c r="G36" s="51">
        <v>40307</v>
      </c>
      <c r="H36" s="51">
        <v>36875</v>
      </c>
      <c r="I36" s="51">
        <v>40428</v>
      </c>
      <c r="J36" s="51">
        <v>43562</v>
      </c>
      <c r="K36" s="51">
        <v>44552</v>
      </c>
      <c r="L36" s="51">
        <v>50783</v>
      </c>
      <c r="M36" s="91">
        <f t="shared" si="0"/>
        <v>2.8216895876970491E-3</v>
      </c>
    </row>
    <row r="37" spans="1:13" x14ac:dyDescent="0.35">
      <c r="A37" s="50">
        <v>36</v>
      </c>
      <c r="B37" s="54" t="s">
        <v>124</v>
      </c>
      <c r="C37" s="54">
        <v>50446</v>
      </c>
      <c r="D37" s="54">
        <v>49115</v>
      </c>
      <c r="E37" s="54">
        <v>49480</v>
      </c>
      <c r="F37" s="54">
        <v>40872</v>
      </c>
      <c r="G37" s="54">
        <v>47400</v>
      </c>
      <c r="H37" s="54">
        <v>28530</v>
      </c>
      <c r="I37" s="54">
        <v>28166</v>
      </c>
      <c r="J37" s="54">
        <v>41049</v>
      </c>
      <c r="K37" s="54">
        <v>49445</v>
      </c>
      <c r="L37" s="54">
        <v>43974</v>
      </c>
      <c r="M37" s="92">
        <f t="shared" si="0"/>
        <v>2.4433565943207378E-3</v>
      </c>
    </row>
    <row r="38" spans="1:13" x14ac:dyDescent="0.35">
      <c r="A38" s="59">
        <v>37</v>
      </c>
      <c r="B38" s="51" t="s">
        <v>86</v>
      </c>
      <c r="C38" s="51">
        <v>37642</v>
      </c>
      <c r="D38" s="51">
        <v>33589</v>
      </c>
      <c r="E38" s="51">
        <v>35640</v>
      </c>
      <c r="F38" s="51">
        <v>32939</v>
      </c>
      <c r="G38" s="51">
        <v>36084</v>
      </c>
      <c r="H38" s="51">
        <v>29187</v>
      </c>
      <c r="I38" s="51">
        <v>30522</v>
      </c>
      <c r="J38" s="51">
        <v>34337</v>
      </c>
      <c r="K38" s="51">
        <v>37735</v>
      </c>
      <c r="L38" s="51">
        <v>43312</v>
      </c>
      <c r="M38" s="93">
        <f t="shared" si="0"/>
        <v>2.4065734482471412E-3</v>
      </c>
    </row>
    <row r="39" spans="1:13" x14ac:dyDescent="0.35">
      <c r="A39" s="50">
        <v>38</v>
      </c>
      <c r="B39" s="54" t="s">
        <v>134</v>
      </c>
      <c r="C39" s="54">
        <v>33298</v>
      </c>
      <c r="D39" s="54">
        <v>32455</v>
      </c>
      <c r="E39" s="54">
        <v>33699</v>
      </c>
      <c r="F39" s="54">
        <v>36631</v>
      </c>
      <c r="G39" s="54">
        <v>39973</v>
      </c>
      <c r="H39" s="54">
        <v>24257</v>
      </c>
      <c r="I39" s="54">
        <v>22296</v>
      </c>
      <c r="J39" s="54">
        <v>24942</v>
      </c>
      <c r="K39" s="54">
        <v>35233</v>
      </c>
      <c r="L39" s="54">
        <v>41379</v>
      </c>
      <c r="M39" s="94">
        <f t="shared" si="0"/>
        <v>2.2991688842588305E-3</v>
      </c>
    </row>
    <row r="40" spans="1:13" x14ac:dyDescent="0.35">
      <c r="A40" s="59">
        <v>39</v>
      </c>
      <c r="B40" s="51" t="s">
        <v>111</v>
      </c>
      <c r="C40" s="51">
        <v>36040</v>
      </c>
      <c r="D40" s="51">
        <v>31194</v>
      </c>
      <c r="E40" s="51">
        <v>31769</v>
      </c>
      <c r="F40" s="51">
        <v>32443</v>
      </c>
      <c r="G40" s="51">
        <v>36187</v>
      </c>
      <c r="H40" s="51">
        <v>22194</v>
      </c>
      <c r="I40" s="51">
        <v>28695</v>
      </c>
      <c r="J40" s="51">
        <v>34475</v>
      </c>
      <c r="K40" s="51">
        <v>37333</v>
      </c>
      <c r="L40" s="51">
        <v>39721</v>
      </c>
      <c r="M40" s="95">
        <f t="shared" si="0"/>
        <v>2.207044328080548E-3</v>
      </c>
    </row>
    <row r="41" spans="1:13" x14ac:dyDescent="0.35">
      <c r="A41" s="50">
        <v>40</v>
      </c>
      <c r="B41" s="54" t="s">
        <v>87</v>
      </c>
      <c r="C41" s="54">
        <v>25872</v>
      </c>
      <c r="D41" s="54">
        <v>21017</v>
      </c>
      <c r="E41" s="54">
        <v>20815</v>
      </c>
      <c r="F41" s="54">
        <v>20228</v>
      </c>
      <c r="G41" s="54">
        <v>24167</v>
      </c>
      <c r="H41" s="54">
        <v>18540</v>
      </c>
      <c r="I41" s="54">
        <v>21483</v>
      </c>
      <c r="J41" s="54">
        <v>24439</v>
      </c>
      <c r="K41" s="54">
        <v>26367</v>
      </c>
      <c r="L41" s="54">
        <v>36878</v>
      </c>
      <c r="M41" s="96">
        <f t="shared" si="0"/>
        <v>2.0490768291572333E-3</v>
      </c>
    </row>
    <row r="42" spans="1:13" x14ac:dyDescent="0.35">
      <c r="A42" s="59">
        <v>41</v>
      </c>
      <c r="B42" s="51" t="s">
        <v>97</v>
      </c>
      <c r="C42" s="51">
        <v>25185</v>
      </c>
      <c r="D42" s="51">
        <v>25601</v>
      </c>
      <c r="E42" s="51">
        <v>25830</v>
      </c>
      <c r="F42" s="51">
        <v>24164</v>
      </c>
      <c r="G42" s="51">
        <v>26336</v>
      </c>
      <c r="H42" s="51">
        <v>18542</v>
      </c>
      <c r="I42" s="51">
        <v>20013</v>
      </c>
      <c r="J42" s="51">
        <v>25710</v>
      </c>
      <c r="K42" s="51">
        <v>32742</v>
      </c>
      <c r="L42" s="51">
        <v>35800</v>
      </c>
      <c r="M42" s="97">
        <f t="shared" si="0"/>
        <v>1.9891791985419205E-3</v>
      </c>
    </row>
    <row r="43" spans="1:13" x14ac:dyDescent="0.35">
      <c r="A43" s="50">
        <v>42</v>
      </c>
      <c r="B43" s="54" t="s">
        <v>127</v>
      </c>
      <c r="C43" s="54">
        <v>31894</v>
      </c>
      <c r="D43" s="54">
        <v>31159</v>
      </c>
      <c r="E43" s="54">
        <v>28724</v>
      </c>
      <c r="F43" s="54">
        <v>27185</v>
      </c>
      <c r="G43" s="54">
        <v>30219</v>
      </c>
      <c r="H43" s="54">
        <v>28763</v>
      </c>
      <c r="I43" s="54">
        <v>29562</v>
      </c>
      <c r="J43" s="54">
        <v>28767</v>
      </c>
      <c r="K43" s="54">
        <v>28551</v>
      </c>
      <c r="L43" s="54">
        <v>34957</v>
      </c>
      <c r="M43" s="98">
        <f t="shared" si="0"/>
        <v>1.942339029146087E-3</v>
      </c>
    </row>
    <row r="44" spans="1:13" x14ac:dyDescent="0.35">
      <c r="A44" s="50">
        <v>43</v>
      </c>
      <c r="B44" s="51" t="s">
        <v>117</v>
      </c>
      <c r="C44" s="51">
        <v>20815</v>
      </c>
      <c r="D44" s="51">
        <v>22226</v>
      </c>
      <c r="E44" s="51">
        <v>23087</v>
      </c>
      <c r="F44" s="51">
        <v>18386</v>
      </c>
      <c r="G44" s="51">
        <v>19337</v>
      </c>
      <c r="H44" s="51">
        <v>15724</v>
      </c>
      <c r="I44" s="51">
        <v>14184</v>
      </c>
      <c r="J44" s="51">
        <v>20096</v>
      </c>
      <c r="K44" s="51">
        <v>29458</v>
      </c>
      <c r="L44" s="51">
        <v>31742</v>
      </c>
      <c r="M44" s="99">
        <f t="shared" si="0"/>
        <v>1.7637018469306605E-3</v>
      </c>
    </row>
    <row r="45" spans="1:13" x14ac:dyDescent="0.35">
      <c r="A45" s="59">
        <v>44</v>
      </c>
      <c r="B45" s="54" t="s">
        <v>96</v>
      </c>
      <c r="C45" s="54">
        <v>26341</v>
      </c>
      <c r="D45" s="54">
        <v>26481</v>
      </c>
      <c r="E45" s="54">
        <v>26678</v>
      </c>
      <c r="F45" s="54">
        <v>20875</v>
      </c>
      <c r="G45" s="54">
        <v>20299</v>
      </c>
      <c r="H45" s="54">
        <v>16780</v>
      </c>
      <c r="I45" s="54">
        <v>18495</v>
      </c>
      <c r="J45" s="54">
        <v>23064</v>
      </c>
      <c r="K45" s="54">
        <v>29665</v>
      </c>
      <c r="L45" s="54">
        <v>31108</v>
      </c>
      <c r="M45" s="100">
        <f t="shared" si="0"/>
        <v>1.7284744834704488E-3</v>
      </c>
    </row>
    <row r="46" spans="1:13" x14ac:dyDescent="0.35">
      <c r="A46" s="50">
        <v>45</v>
      </c>
      <c r="B46" s="51" t="s">
        <v>95</v>
      </c>
      <c r="C46" s="51">
        <v>27050</v>
      </c>
      <c r="D46" s="51">
        <v>29281</v>
      </c>
      <c r="E46" s="51">
        <v>26713</v>
      </c>
      <c r="F46" s="51">
        <v>24528</v>
      </c>
      <c r="G46" s="51">
        <v>25221</v>
      </c>
      <c r="H46" s="51">
        <v>23468</v>
      </c>
      <c r="I46" s="51">
        <v>22995</v>
      </c>
      <c r="J46" s="51">
        <v>19737</v>
      </c>
      <c r="K46" s="51">
        <v>27219</v>
      </c>
      <c r="L46" s="51">
        <v>29170</v>
      </c>
      <c r="M46" s="101">
        <f t="shared" si="0"/>
        <v>1.6207921011583192E-3</v>
      </c>
    </row>
    <row r="47" spans="1:13" x14ac:dyDescent="0.35">
      <c r="A47" s="59">
        <v>46</v>
      </c>
      <c r="B47" s="54" t="s">
        <v>114</v>
      </c>
      <c r="C47" s="54">
        <v>11186</v>
      </c>
      <c r="D47" s="54">
        <v>7684</v>
      </c>
      <c r="E47" s="54">
        <v>8514</v>
      </c>
      <c r="F47" s="54">
        <v>9959</v>
      </c>
      <c r="G47" s="54">
        <v>11730</v>
      </c>
      <c r="H47" s="54">
        <v>10721</v>
      </c>
      <c r="I47" s="54">
        <v>12471</v>
      </c>
      <c r="J47" s="54">
        <v>11620</v>
      </c>
      <c r="K47" s="54">
        <v>18955</v>
      </c>
      <c r="L47" s="54">
        <v>23315</v>
      </c>
      <c r="M47" s="102">
        <f t="shared" si="0"/>
        <v>1.2954668439666168E-3</v>
      </c>
    </row>
    <row r="48" spans="1:13" x14ac:dyDescent="0.35">
      <c r="A48" s="50">
        <v>47</v>
      </c>
      <c r="B48" s="51" t="s">
        <v>108</v>
      </c>
      <c r="C48" s="51">
        <v>31209</v>
      </c>
      <c r="D48" s="51">
        <v>29867</v>
      </c>
      <c r="E48" s="51">
        <v>26196</v>
      </c>
      <c r="F48" s="51">
        <v>20227</v>
      </c>
      <c r="G48" s="51">
        <v>19495</v>
      </c>
      <c r="H48" s="51">
        <v>18930</v>
      </c>
      <c r="I48" s="51">
        <v>11943</v>
      </c>
      <c r="J48" s="51">
        <v>7020</v>
      </c>
      <c r="K48" s="51">
        <v>9424</v>
      </c>
      <c r="L48" s="51">
        <v>21650</v>
      </c>
      <c r="M48" s="103">
        <f t="shared" si="0"/>
        <v>1.2029533421349882E-3</v>
      </c>
    </row>
    <row r="49" spans="1:13" x14ac:dyDescent="0.35">
      <c r="A49" s="59">
        <v>48</v>
      </c>
      <c r="B49" s="54" t="s">
        <v>93</v>
      </c>
      <c r="C49" s="54">
        <v>22381</v>
      </c>
      <c r="D49" s="54">
        <v>23264</v>
      </c>
      <c r="E49" s="54">
        <v>22046</v>
      </c>
      <c r="F49" s="54">
        <v>19487</v>
      </c>
      <c r="G49" s="54">
        <v>18981</v>
      </c>
      <c r="H49" s="54">
        <v>18331</v>
      </c>
      <c r="I49" s="54">
        <v>18831</v>
      </c>
      <c r="J49" s="54">
        <v>18596</v>
      </c>
      <c r="K49" s="54">
        <v>18532</v>
      </c>
      <c r="L49" s="54">
        <v>20080</v>
      </c>
      <c r="M49" s="104">
        <f t="shared" si="0"/>
        <v>1.1157183884559151E-3</v>
      </c>
    </row>
    <row r="50" spans="1:13" x14ac:dyDescent="0.35">
      <c r="A50" s="50">
        <v>49</v>
      </c>
      <c r="B50" s="51" t="s">
        <v>116</v>
      </c>
      <c r="C50" s="51">
        <v>7398</v>
      </c>
      <c r="D50" s="51">
        <v>8825</v>
      </c>
      <c r="E50" s="51">
        <v>9463</v>
      </c>
      <c r="F50" s="51">
        <v>10932</v>
      </c>
      <c r="G50" s="51">
        <v>10194</v>
      </c>
      <c r="H50" s="51">
        <v>6372</v>
      </c>
      <c r="I50" s="51">
        <v>8902</v>
      </c>
      <c r="J50" s="51">
        <v>10862</v>
      </c>
      <c r="K50" s="51">
        <v>15411</v>
      </c>
      <c r="L50" s="51">
        <v>15291</v>
      </c>
      <c r="M50" s="105">
        <f t="shared" si="0"/>
        <v>8.4962399790236055E-4</v>
      </c>
    </row>
    <row r="51" spans="1:13" x14ac:dyDescent="0.35">
      <c r="A51" s="50">
        <v>50</v>
      </c>
      <c r="B51" s="54" t="s">
        <v>129</v>
      </c>
      <c r="C51" s="54">
        <v>31602</v>
      </c>
      <c r="D51" s="54">
        <v>31929</v>
      </c>
      <c r="E51" s="54">
        <v>30407</v>
      </c>
      <c r="F51" s="54">
        <v>28888</v>
      </c>
      <c r="G51" s="54">
        <v>31410</v>
      </c>
      <c r="H51" s="54">
        <v>29649</v>
      </c>
      <c r="I51" s="54">
        <v>28499</v>
      </c>
      <c r="J51" s="54">
        <v>23150</v>
      </c>
      <c r="K51" s="54">
        <v>12413</v>
      </c>
      <c r="L51" s="54">
        <v>13190</v>
      </c>
      <c r="M51" s="106">
        <f t="shared" si="0"/>
        <v>7.3288473823374112E-4</v>
      </c>
    </row>
    <row r="52" spans="1:13" x14ac:dyDescent="0.35">
      <c r="A52" s="59">
        <v>51</v>
      </c>
      <c r="B52" s="51" t="s">
        <v>133</v>
      </c>
      <c r="C52" s="51">
        <v>14723</v>
      </c>
      <c r="D52" s="51">
        <v>13000</v>
      </c>
      <c r="E52" s="51">
        <v>11298</v>
      </c>
      <c r="F52" s="51">
        <v>9085</v>
      </c>
      <c r="G52" s="51">
        <v>9965</v>
      </c>
      <c r="H52" s="51">
        <v>6326</v>
      </c>
      <c r="I52" s="51">
        <v>7890</v>
      </c>
      <c r="J52" s="51">
        <v>10067</v>
      </c>
      <c r="K52" s="51">
        <v>12104</v>
      </c>
      <c r="L52" s="51">
        <v>9376</v>
      </c>
      <c r="M52" s="107">
        <f t="shared" si="0"/>
        <v>5.2096492082483376E-4</v>
      </c>
    </row>
    <row r="53" spans="1:13" x14ac:dyDescent="0.35">
      <c r="A53" s="50">
        <v>52</v>
      </c>
      <c r="B53" s="54" t="s">
        <v>112</v>
      </c>
      <c r="C53" s="54">
        <v>6043</v>
      </c>
      <c r="D53" s="54">
        <v>6135</v>
      </c>
      <c r="E53" s="54">
        <v>6420</v>
      </c>
      <c r="F53" s="54">
        <v>5902</v>
      </c>
      <c r="G53" s="54">
        <v>6940</v>
      </c>
      <c r="H53" s="54">
        <v>3444</v>
      </c>
      <c r="I53" s="54">
        <v>3868</v>
      </c>
      <c r="J53" s="54">
        <v>5556</v>
      </c>
      <c r="K53" s="54">
        <v>7958</v>
      </c>
      <c r="L53" s="54">
        <v>8158</v>
      </c>
      <c r="M53" s="108">
        <f t="shared" si="0"/>
        <v>4.5328837714259741E-4</v>
      </c>
    </row>
    <row r="54" spans="1:13" x14ac:dyDescent="0.35">
      <c r="A54" s="59">
        <v>53</v>
      </c>
      <c r="B54" s="51" t="s">
        <v>131</v>
      </c>
      <c r="C54" s="51">
        <v>10914</v>
      </c>
      <c r="D54" s="51">
        <v>10091</v>
      </c>
      <c r="E54" s="51">
        <v>9423</v>
      </c>
      <c r="F54" s="51">
        <v>8034</v>
      </c>
      <c r="G54" s="51">
        <v>7285</v>
      </c>
      <c r="H54" s="51">
        <v>4662</v>
      </c>
      <c r="I54" s="51">
        <v>5363</v>
      </c>
      <c r="J54" s="51">
        <v>6457</v>
      </c>
      <c r="K54" s="51">
        <v>6682</v>
      </c>
      <c r="L54" s="51">
        <v>4838</v>
      </c>
      <c r="M54" s="109">
        <f t="shared" si="0"/>
        <v>2.68817010126978E-4</v>
      </c>
    </row>
    <row r="55" spans="1:13" x14ac:dyDescent="0.35">
      <c r="A55" s="50">
        <v>54</v>
      </c>
      <c r="B55" s="54" t="s">
        <v>107</v>
      </c>
      <c r="C55" s="54">
        <v>2769</v>
      </c>
      <c r="D55" s="54">
        <v>2119</v>
      </c>
      <c r="E55" s="54">
        <v>3442</v>
      </c>
      <c r="F55" s="54">
        <v>4571</v>
      </c>
      <c r="G55" s="54">
        <v>4190</v>
      </c>
      <c r="H55" s="54">
        <v>2422</v>
      </c>
      <c r="I55" s="54">
        <v>3326</v>
      </c>
      <c r="J55" s="54">
        <v>3007</v>
      </c>
      <c r="K55" s="54">
        <v>4665</v>
      </c>
      <c r="L55" s="54">
        <v>4561</v>
      </c>
      <c r="M55" s="110">
        <f t="shared" si="0"/>
        <v>2.5342587498742176E-4</v>
      </c>
    </row>
    <row r="56" spans="1:13" x14ac:dyDescent="0.35">
      <c r="A56" s="59">
        <v>55</v>
      </c>
      <c r="B56" s="51" t="s">
        <v>123</v>
      </c>
      <c r="C56" s="51">
        <v>6899</v>
      </c>
      <c r="D56" s="51">
        <v>5271</v>
      </c>
      <c r="E56" s="51">
        <v>6960</v>
      </c>
      <c r="F56" s="51">
        <v>5720</v>
      </c>
      <c r="G56" s="51">
        <v>5326</v>
      </c>
      <c r="H56" s="51">
        <v>3027</v>
      </c>
      <c r="I56" s="51">
        <v>3636</v>
      </c>
      <c r="J56" s="51">
        <v>2522</v>
      </c>
      <c r="K56" s="51">
        <v>3249</v>
      </c>
      <c r="L56" s="51">
        <v>3197</v>
      </c>
      <c r="M56" s="111">
        <f t="shared" si="0"/>
        <v>1.7763703624967933E-4</v>
      </c>
    </row>
    <row r="57" spans="1:13" x14ac:dyDescent="0.35">
      <c r="A57" s="50">
        <v>56</v>
      </c>
      <c r="B57" s="54" t="s">
        <v>110</v>
      </c>
      <c r="C57" s="54">
        <v>378</v>
      </c>
      <c r="D57" s="54">
        <v>395</v>
      </c>
      <c r="E57" s="54">
        <v>566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112">
        <f t="shared" si="0"/>
        <v>0</v>
      </c>
    </row>
    <row r="58" spans="1:13" x14ac:dyDescent="0.35">
      <c r="A58" s="50">
        <v>57</v>
      </c>
      <c r="B58" s="51" t="s">
        <v>109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113">
        <f t="shared" si="0"/>
        <v>0</v>
      </c>
    </row>
    <row r="59" spans="1:13" x14ac:dyDescent="0.35">
      <c r="A59" s="59">
        <v>58</v>
      </c>
      <c r="B59" s="54" t="s">
        <v>119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112">
        <f t="shared" si="0"/>
        <v>0</v>
      </c>
    </row>
    <row r="60" spans="1:13" x14ac:dyDescent="0.35">
      <c r="M60" s="116"/>
    </row>
    <row r="61" spans="1:13" x14ac:dyDescent="0.35">
      <c r="A61" s="61"/>
      <c r="B61" s="56" t="s">
        <v>98</v>
      </c>
      <c r="C61" s="57">
        <f>SUM(C2:C59)</f>
        <v>14166938</v>
      </c>
      <c r="D61" s="57">
        <f t="shared" ref="D61:L61" si="1">SUM(D2:D59)</f>
        <v>14033720</v>
      </c>
      <c r="E61" s="57">
        <f t="shared" si="1"/>
        <v>14748417</v>
      </c>
      <c r="F61" s="57">
        <f t="shared" si="1"/>
        <v>14545633</v>
      </c>
      <c r="G61" s="57">
        <f t="shared" si="1"/>
        <v>15470143</v>
      </c>
      <c r="H61" s="57">
        <f t="shared" si="1"/>
        <v>10263611</v>
      </c>
      <c r="I61" s="57">
        <f t="shared" si="1"/>
        <v>11905780</v>
      </c>
      <c r="J61" s="57">
        <f t="shared" si="1"/>
        <v>14819782</v>
      </c>
      <c r="K61" s="57">
        <f t="shared" si="1"/>
        <v>17292213</v>
      </c>
      <c r="L61" s="57">
        <f t="shared" si="1"/>
        <v>17997373</v>
      </c>
      <c r="M61" s="114">
        <v>1</v>
      </c>
    </row>
    <row r="62" spans="1:13" x14ac:dyDescent="0.35">
      <c r="A62" s="61"/>
      <c r="B62" t="s">
        <v>100</v>
      </c>
      <c r="C62" s="60">
        <f>(C61-C61)/C61</f>
        <v>0</v>
      </c>
      <c r="D62" s="60">
        <f>(D61-C61)/C61</f>
        <v>-9.4034434258129743E-3</v>
      </c>
      <c r="E62" s="60">
        <f t="shared" ref="E62:L62" si="2">(E61-D61)/D61</f>
        <v>5.0927124098243376E-2</v>
      </c>
      <c r="F62" s="60">
        <f t="shared" si="2"/>
        <v>-1.3749543425575775E-2</v>
      </c>
      <c r="G62" s="60">
        <f t="shared" si="2"/>
        <v>6.3559282707050288E-2</v>
      </c>
      <c r="H62" s="60">
        <f t="shared" si="2"/>
        <v>-0.33655357936898189</v>
      </c>
      <c r="I62" s="60">
        <f t="shared" si="2"/>
        <v>0.15999914649921942</v>
      </c>
      <c r="J62" s="60">
        <f t="shared" si="2"/>
        <v>0.24475523653217177</v>
      </c>
      <c r="K62" s="60">
        <f t="shared" si="2"/>
        <v>0.16683315584534239</v>
      </c>
      <c r="L62" s="60">
        <f t="shared" si="2"/>
        <v>4.0779048927977006E-2</v>
      </c>
      <c r="M62" s="116"/>
    </row>
    <row r="63" spans="1:13" x14ac:dyDescent="0.35">
      <c r="A63" s="61"/>
      <c r="B63" t="s">
        <v>99</v>
      </c>
      <c r="C63" s="60">
        <f>(C61-$C$61)/$C$61</f>
        <v>0</v>
      </c>
      <c r="D63" s="60">
        <f t="shared" ref="D63:L63" si="3">(D61-$C$61)/$C$61</f>
        <v>-9.4034434258129743E-3</v>
      </c>
      <c r="E63" s="60">
        <f t="shared" si="3"/>
        <v>4.1044790342133215E-2</v>
      </c>
      <c r="F63" s="60">
        <f t="shared" si="3"/>
        <v>2.6730899789354622E-2</v>
      </c>
      <c r="G63" s="60">
        <f t="shared" si="3"/>
        <v>9.1989179313130331E-2</v>
      </c>
      <c r="H63" s="60">
        <f t="shared" si="3"/>
        <v>-0.27552368761690071</v>
      </c>
      <c r="I63" s="60">
        <f t="shared" si="3"/>
        <v>-0.15960809597670295</v>
      </c>
      <c r="J63" s="60">
        <f t="shared" si="3"/>
        <v>4.6082223272241325E-2</v>
      </c>
      <c r="K63" s="60">
        <f t="shared" si="3"/>
        <v>0.22060342185446141</v>
      </c>
      <c r="L63" s="60">
        <f t="shared" si="3"/>
        <v>0.27037846851592068</v>
      </c>
      <c r="M63" s="116"/>
    </row>
  </sheetData>
  <conditionalFormatting sqref="C62:L63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7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Horaire TGV</vt:lpstr>
      <vt:lpstr>Fréquentation LGV</vt:lpstr>
      <vt:lpstr>Classement ville GE</vt:lpstr>
      <vt:lpstr>Fréquentation Ligne Kruth</vt:lpstr>
      <vt:lpstr>Fréquentation Ligne Colmar</vt:lpstr>
      <vt:lpstr>Classement fréquentation 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Rupert</dc:creator>
  <cp:lastModifiedBy>Clément Rupert</cp:lastModifiedBy>
  <cp:lastPrinted>2026-10-16T13:56:28Z</cp:lastPrinted>
  <dcterms:created xsi:type="dcterms:W3CDTF">2026-07-28T08:48:01Z</dcterms:created>
  <dcterms:modified xsi:type="dcterms:W3CDTF">2026-10-19T06:16:02Z</dcterms:modified>
</cp:coreProperties>
</file>